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arativo Periodos" sheetId="2" state="visible" r:id="rId2"/>
    <sheet xmlns:r="http://schemas.openxmlformats.org/officeDocument/2006/relationships" name="Por Producto" sheetId="3" state="visible" r:id="rId3"/>
    <sheet xmlns:r="http://schemas.openxmlformats.org/officeDocument/2006/relationships" name="Por Cliente" sheetId="4" state="visible" r:id="rId4"/>
    <sheet xmlns:r="http://schemas.openxmlformats.org/officeDocument/2006/relationships" name="Regional" sheetId="5" state="visible" r:id="rId5"/>
    <sheet xmlns:r="http://schemas.openxmlformats.org/officeDocument/2006/relationships" name="Por Canal" sheetId="6" state="visible" r:id="rId6"/>
    <sheet xmlns:r="http://schemas.openxmlformats.org/officeDocument/2006/relationships" name="Oportunidades y Riesgos" sheetId="7" state="visible" r:id="rId7"/>
    <sheet xmlns:r="http://schemas.openxmlformats.org/officeDocument/2006/relationships" name="Contexto Mercad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+0.0%;-0.0%;0.0%"/>
    <numFmt numFmtId="166" formatCode="0.0%"/>
    <numFmt numFmtId="167" formatCode="+0.0&quot; pp&quot;;-0.0&quot; pp&quot;;0.0&quot; pp&quot;"/>
    <numFmt numFmtId="168" formatCode="&quot;$&quot;#,##0.0"/>
    <numFmt numFmtId="169" formatCode="0.0pp"/>
  </numFmts>
  <fonts count="17">
    <font>
      <name val="Calibri"/>
      <family val="2"/>
      <color theme="1"/>
      <sz val="11"/>
      <scheme val="minor"/>
    </font>
    <font>
      <name val="Calibri"/>
      <b val="1"/>
      <color rgb="006E1E28"/>
      <sz val="14"/>
    </font>
    <font>
      <name val="Calibri"/>
      <i val="1"/>
      <color rgb="008A8A8A"/>
      <sz val="8"/>
    </font>
    <font>
      <name val="Calibri"/>
      <b val="1"/>
      <color rgb="006E1E28"/>
      <sz val="11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E23B2E"/>
      <sz val="9"/>
    </font>
    <font>
      <name val="Calibri"/>
      <color rgb="00000000"/>
      <sz val="9"/>
    </font>
    <font>
      <name val="Calibri"/>
      <b val="1"/>
      <color rgb="00FF0000"/>
      <sz val="9"/>
    </font>
    <font>
      <name val="Calibri"/>
      <b val="1"/>
      <color rgb="0000B050"/>
      <sz val="9"/>
    </font>
    <font>
      <name val="Calibri"/>
      <b val="1"/>
      <color rgb="00FFC000"/>
      <sz val="9"/>
    </font>
    <font>
      <name val="Calibri"/>
      <b val="1"/>
      <color rgb="00FF0000"/>
      <sz val="12"/>
    </font>
    <font>
      <name val="Calibri"/>
      <b val="1"/>
      <color rgb="0000B050"/>
      <sz val="12"/>
    </font>
    <font>
      <name val="Calibri"/>
      <b val="1"/>
      <color rgb="001F1F1F"/>
      <sz val="9"/>
    </font>
    <font>
      <name val="Calibri"/>
      <b val="1"/>
      <color rgb="006E1E28"/>
      <sz val="10"/>
    </font>
    <font>
      <name val="Calibri"/>
      <color rgb="0000B050"/>
      <sz val="9"/>
    </font>
    <font>
      <name val="Calibri"/>
      <i val="1"/>
      <color rgb="008A8A8A"/>
      <sz val="9"/>
    </font>
  </fonts>
  <fills count="13">
    <fill>
      <patternFill/>
    </fill>
    <fill>
      <patternFill patternType="gray125"/>
    </fill>
    <fill>
      <patternFill patternType="solid">
        <fgColor rgb="00FFF8F0"/>
      </patternFill>
    </fill>
    <fill>
      <patternFill patternType="solid">
        <fgColor rgb="00FBF3DD"/>
      </patternFill>
    </fill>
    <fill>
      <patternFill patternType="solid">
        <fgColor rgb="006E1E28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FFC000"/>
      </patternFill>
    </fill>
    <fill>
      <patternFill patternType="solid">
        <fgColor rgb="001E7145"/>
      </patternFill>
    </fill>
    <fill>
      <patternFill patternType="solid">
        <fgColor rgb="00A6192E"/>
      </patternFill>
    </fill>
    <fill>
      <patternFill patternType="solid">
        <fgColor rgb="00FDECEA"/>
      </patternFill>
    </fill>
    <fill>
      <patternFill patternType="solid">
        <fgColor rgb="00E8F5E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right" vertical="center"/>
    </xf>
    <xf numFmtId="166" fontId="7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12" fillId="3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right" vertical="center"/>
    </xf>
    <xf numFmtId="0" fontId="15" fillId="0" borderId="1" pivotButton="0" quotePrefix="0" xfId="0"/>
    <xf numFmtId="0" fontId="14" fillId="0" borderId="1" applyAlignment="1" pivotButton="0" quotePrefix="0" xfId="0">
      <alignment horizontal="right" vertical="center"/>
    </xf>
    <xf numFmtId="0" fontId="3" fillId="10" borderId="0" pivotButton="0" quotePrefix="0" xfId="0"/>
    <xf numFmtId="166" fontId="6" fillId="5" borderId="1" applyAlignment="1" pivotButton="0" quotePrefix="0" xfId="0">
      <alignment horizontal="right" vertical="center"/>
    </xf>
    <xf numFmtId="0" fontId="3" fillId="11" borderId="0" pivotButton="0" quotePrefix="0" xfId="0"/>
    <xf numFmtId="166" fontId="9" fillId="5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169" fontId="8" fillId="5" borderId="1" applyAlignment="1" pivotButton="0" quotePrefix="0" xfId="0">
      <alignment horizontal="right" vertical="center"/>
    </xf>
    <xf numFmtId="169" fontId="9" fillId="6" borderId="1" applyAlignment="1" pivotButton="0" quotePrefix="0" xfId="0">
      <alignment horizontal="right" vertical="center"/>
    </xf>
    <xf numFmtId="169" fontId="9" fillId="5" borderId="1" applyAlignment="1" pivotButton="0" quotePrefix="0" xfId="0">
      <alignment horizontal="right" vertical="center"/>
    </xf>
    <xf numFmtId="169" fontId="8" fillId="6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169" fontId="7" fillId="6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Semanal — 2026 vs 2025 + Promedio Móvil 4 sem</a:t>
            </a:r>
          </a:p>
        </rich>
      </tx>
    </title>
    <plotArea>
      <lineChart>
        <grouping val="standard"/>
        <ser>
          <idx val="0"/>
          <order val="0"/>
          <tx>
            <strRef>
              <f>'Comparativo Periodos'!B35</f>
            </strRef>
          </tx>
          <spPr>
            <a:ln xmlns:a="http://schemas.openxmlformats.org/drawingml/2006/main" w="20000">
              <a:solidFill>
                <a:srgbClr val="6E1E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'Comparativo Periodos'!$A$36:$A$65</f>
            </numRef>
          </cat>
          <val>
            <numRef>
              <f>'Comparativo Periodos'!$B$36:$B$65</f>
            </numRef>
          </val>
        </ser>
        <ser>
          <idx val="1"/>
          <order val="1"/>
          <tx>
            <strRef>
              <f>'Comparativo Periodos'!C35</f>
            </strRef>
          </tx>
          <spPr>
            <a:ln xmlns:a="http://schemas.openxmlformats.org/drawingml/2006/main" w="15000">
              <a:solidFill>
                <a:srgbClr val="E7D6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'Comparativo Periodos'!$A$36:$A$65</f>
            </numRef>
          </cat>
          <val>
            <numRef>
              <f>'Comparativo Periodos'!$C$36:$C$65</f>
            </numRef>
          </val>
        </ser>
        <ser>
          <idx val="2"/>
          <order val="2"/>
          <tx>
            <strRef>
              <f>'Comparativo Periodos'!G35</f>
            </strRef>
          </tx>
          <spPr>
            <a:ln xmlns:a="http://schemas.openxmlformats.org/drawingml/2006/main" w="12000">
              <a:solidFill>
                <a:srgbClr val="E23B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'Comparativo Periodos'!$A$36:$A$65</f>
            </numRef>
          </cat>
          <val>
            <numRef>
              <f>'Comparativo Periodos'!$G$36:$G$65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$MXN (sin IVA)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Semanal por Producto (barras apiladas)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'Por Producto'!B21</f>
            </strRef>
          </tx>
          <spPr>
            <a:solidFill xmlns:a="http://schemas.openxmlformats.org/drawingml/2006/main">
              <a:srgbClr val="9B1C31"/>
            </a:solidFill>
            <a:ln xmlns:a="http://schemas.openxmlformats.org/drawingml/2006/main">
              <a:prstDash val="solid"/>
            </a:ln>
          </spPr>
          <cat>
            <numRef>
              <f>'Por Producto'!$A$22:$A$33</f>
            </numRef>
          </cat>
          <val>
            <numRef>
              <f>'Por Producto'!$B$22:$B$33</f>
            </numRef>
          </val>
        </ser>
        <ser>
          <idx val="1"/>
          <order val="1"/>
          <tx>
            <strRef>
              <f>'Por Producto'!C21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prstDash val="solid"/>
            </a:ln>
          </spPr>
          <cat>
            <numRef>
              <f>'Por Producto'!$A$22:$A$33</f>
            </numRef>
          </cat>
          <val>
            <numRef>
              <f>'Por Producto'!$C$22:$C$33</f>
            </numRef>
          </val>
        </ser>
        <ser>
          <idx val="2"/>
          <order val="2"/>
          <tx>
            <strRef>
              <f>'Por Producto'!D21</f>
            </strRef>
          </tx>
          <spPr>
            <a:solidFill xmlns:a="http://schemas.openxmlformats.org/drawingml/2006/main">
              <a:srgbClr val="A96C43"/>
            </a:solidFill>
            <a:ln xmlns:a="http://schemas.openxmlformats.org/drawingml/2006/main">
              <a:prstDash val="solid"/>
            </a:ln>
          </spPr>
          <cat>
            <numRef>
              <f>'Por Producto'!$A$22:$A$33</f>
            </numRef>
          </cat>
          <val>
            <numRef>
              <f>'Por Producto'!$D$22:$D$33</f>
            </numRef>
          </val>
        </ser>
        <ser>
          <idx val="3"/>
          <order val="3"/>
          <tx>
            <strRef>
              <f>'Por Producto'!E21</f>
            </strRef>
          </tx>
          <spPr>
            <a:solidFill xmlns:a="http://schemas.openxmlformats.org/drawingml/2006/main">
              <a:srgbClr val="1F1F1F"/>
            </a:solidFill>
            <a:ln xmlns:a="http://schemas.openxmlformats.org/drawingml/2006/main">
              <a:prstDash val="solid"/>
            </a:ln>
          </spPr>
          <cat>
            <numRef>
              <f>'Por Producto'!$A$22:$A$33</f>
            </numRef>
          </cat>
          <val>
            <numRef>
              <f>'Por Producto'!$E$22:$E$33</f>
            </numRef>
          </val>
        </ser>
        <ser>
          <idx val="4"/>
          <order val="4"/>
          <tx>
            <strRef>
              <f>'Por Producto'!F21</f>
            </strRef>
          </tx>
          <spPr>
            <a:solidFill xmlns:a="http://schemas.openxmlformats.org/drawingml/2006/main">
              <a:srgbClr val="1F6E6E"/>
            </a:solidFill>
            <a:ln xmlns:a="http://schemas.openxmlformats.org/drawingml/2006/main">
              <a:prstDash val="solid"/>
            </a:ln>
          </spPr>
          <cat>
            <numRef>
              <f>'Por Producto'!$A$22:$A$33</f>
            </numRef>
          </cat>
          <val>
            <numRef>
              <f>'Por Producto'!$F$22:$F$33</f>
            </numRef>
          </val>
        </ser>
        <ser>
          <idx val="5"/>
          <order val="5"/>
          <tx>
            <strRef>
              <f>'Por Producto'!G21</f>
            </strRef>
          </tx>
          <spPr>
            <a:solidFill xmlns:a="http://schemas.openxmlformats.org/drawingml/2006/main">
              <a:srgbClr val="F2C14E"/>
            </a:solidFill>
            <a:ln xmlns:a="http://schemas.openxmlformats.org/drawingml/2006/main">
              <a:prstDash val="solid"/>
            </a:ln>
          </spPr>
          <cat>
            <numRef>
              <f>'Por Producto'!$A$22:$A$33</f>
            </numRef>
          </cat>
          <val>
            <numRef>
              <f>'Por Producto'!$G$22:$G$33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$MXN (sin IVA)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Estado: 2026 vs 2025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'Regional'!C4</f>
            </strRef>
          </tx>
          <spPr>
            <a:solidFill xmlns:a="http://schemas.openxmlformats.org/drawingml/2006/main">
              <a:srgbClr val="6E1E28"/>
            </a:solidFill>
            <a:ln xmlns:a="http://schemas.openxmlformats.org/drawingml/2006/main">
              <a:prstDash val="solid"/>
            </a:ln>
          </spPr>
          <cat>
            <numRef>
              <f>'Regional'!$B$5:$B$19</f>
            </numRef>
          </cat>
          <val>
            <numRef>
              <f>'Regional'!$C$5:$C$19</f>
            </numRef>
          </val>
        </ser>
        <ser>
          <idx val="1"/>
          <order val="1"/>
          <tx>
            <strRef>
              <f>'Regional'!D4</f>
            </strRef>
          </tx>
          <spPr>
            <a:solidFill xmlns:a="http://schemas.openxmlformats.org/drawingml/2006/main">
              <a:srgbClr val="E7D6A6"/>
            </a:solidFill>
            <a:ln xmlns:a="http://schemas.openxmlformats.org/drawingml/2006/main">
              <a:prstDash val="solid"/>
            </a:ln>
          </spPr>
          <cat>
            <numRef>
              <f>'Regional'!$B$5:$B$19</f>
            </numRef>
          </cat>
          <val>
            <numRef>
              <f>'Regional'!$D$5:$D$19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$MXN sin IVA</a:t>
                </a:r>
              </a:p>
            </rich>
          </tx>
        </title>
        <majorTickMark val="out"/>
        <minorTickMark val="none"/>
        <tickLblPos val="nextTo"/>
        <crossAx val="10"/>
        <crosses val="min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Canal: 2026 vs 2025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'Por Canal'!C4</f>
            </strRef>
          </tx>
          <spPr>
            <a:solidFill xmlns:a="http://schemas.openxmlformats.org/drawingml/2006/main">
              <a:srgbClr val="6E1E28"/>
            </a:solidFill>
            <a:ln xmlns:a="http://schemas.openxmlformats.org/drawingml/2006/main">
              <a:prstDash val="solid"/>
            </a:ln>
          </spPr>
          <cat>
            <numRef>
              <f>'Por Canal'!$A$5:$A$8</f>
            </numRef>
          </cat>
          <val>
            <numRef>
              <f>'Por Canal'!$C$5:$C$8</f>
            </numRef>
          </val>
        </ser>
        <ser>
          <idx val="1"/>
          <order val="1"/>
          <tx>
            <strRef>
              <f>'Por Canal'!D4</f>
            </strRef>
          </tx>
          <spPr>
            <a:solidFill xmlns:a="http://schemas.openxmlformats.org/drawingml/2006/main">
              <a:srgbClr val="E7D6A6"/>
            </a:solidFill>
            <a:ln xmlns:a="http://schemas.openxmlformats.org/drawingml/2006/main">
              <a:prstDash val="solid"/>
            </a:ln>
          </spPr>
          <cat>
            <numRef>
              <f>'Por Canal'!$A$5:$A$8</f>
            </numRef>
          </cat>
          <val>
            <numRef>
              <f>'Por Canal'!$D$5:$D$8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Canal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$MXN sin IVA</a:t>
                </a:r>
              </a:p>
            </rich>
          </tx>
        </title>
        <majorTickMark val="out"/>
        <minorTickMark val="none"/>
        <tickLblPos val="nextTo"/>
        <crossAx val="10"/>
        <crosses val="mi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33</row>
      <rowOff>0</rowOff>
    </from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35</row>
      <rowOff>0</rowOff>
    </from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2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5" customWidth="1" min="4" max="4"/>
    <col width="13" customWidth="1" min="5" max="5"/>
    <col width="16" customWidth="1" min="6" max="6"/>
    <col width="15" customWidth="1" min="7" max="7"/>
    <col width="13" customWidth="1" min="8" max="8"/>
  </cols>
  <sheetData>
    <row r="1">
      <c r="A1" s="1" t="inlineStr">
        <is>
          <t>Reporte Ejecutivo — Semana 30 · 2026</t>
        </is>
      </c>
    </row>
    <row r="2">
      <c r="A2" s="2" t="inlineStr">
        <is>
          <t>Loco Tequila · Ventas y Margen · 2026-W30</t>
        </is>
      </c>
    </row>
    <row r="4">
      <c r="A4" s="3" t="inlineStr">
        <is>
          <t>KPIs Clave — Semana Actual</t>
        </is>
      </c>
    </row>
    <row r="5">
      <c r="A5" s="4" t="inlineStr">
        <is>
          <t>Métrica</t>
        </is>
      </c>
      <c r="B5" s="4" t="inlineStr">
        <is>
          <t>Valor</t>
        </is>
      </c>
      <c r="C5" s="4" t="inlineStr">
        <is>
          <t>Plan</t>
        </is>
      </c>
      <c r="D5" s="4" t="inlineStr">
        <is>
          <t>Var vs Plan</t>
        </is>
      </c>
      <c r="E5" s="4" t="inlineStr">
        <is>
          <t>Var vs Plan %</t>
        </is>
      </c>
      <c r="F5" s="4" t="inlineStr">
        <is>
          <t>Año Anterior</t>
        </is>
      </c>
      <c r="G5" s="4" t="inlineStr">
        <is>
          <t>Var vs Año Ant.</t>
        </is>
      </c>
      <c r="H5" s="4" t="inlineStr">
        <is>
          <t>Var vs Año Ant. %</t>
        </is>
      </c>
    </row>
    <row r="6">
      <c r="A6" s="5" t="inlineStr">
        <is>
          <t>Ventas Netas (sin IVA)</t>
        </is>
      </c>
      <c r="B6" s="6" t="n">
        <v>5221958.09</v>
      </c>
      <c r="C6" s="6" t="n">
        <v>7944276.07</v>
      </c>
      <c r="D6" s="7" t="n">
        <v>-2722317.98</v>
      </c>
      <c r="E6" s="8" t="n">
        <v>-0.3426766587682294</v>
      </c>
      <c r="F6" s="6" t="n">
        <v>3881440.97</v>
      </c>
      <c r="G6" s="6" t="n">
        <v>1340517.12</v>
      </c>
      <c r="H6" s="8" t="n">
        <v>0.3453658397386369</v>
      </c>
    </row>
    <row r="7">
      <c r="A7" s="9" t="inlineStr">
        <is>
          <t># Botellas Vendidas</t>
        </is>
      </c>
      <c r="B7" s="10" t="n">
        <v>3740</v>
      </c>
      <c r="C7" s="10" t="n">
        <v>5318.1</v>
      </c>
      <c r="D7" s="11" t="n">
        <v>-1578.1</v>
      </c>
      <c r="E7" s="12" t="n">
        <v>-0.2967413173877889</v>
      </c>
      <c r="F7" s="10" t="n">
        <v>2919</v>
      </c>
      <c r="G7" s="10" t="n">
        <v>821</v>
      </c>
      <c r="H7" s="12" t="n">
        <v>0.2812607057211374</v>
      </c>
    </row>
    <row r="8">
      <c r="A8" s="13" t="inlineStr">
        <is>
          <t>Cajas 9 Litros</t>
        </is>
      </c>
      <c r="B8" s="14" t="n">
        <v>302.9888888888889</v>
      </c>
      <c r="C8" s="14" t="n">
        <v>436.24</v>
      </c>
      <c r="D8" s="15" t="n">
        <v>-133.2511111111111</v>
      </c>
      <c r="E8" s="16" t="n">
        <v>-0.3054536748375002</v>
      </c>
      <c r="F8" s="14" t="n">
        <v>243.25</v>
      </c>
      <c r="G8" s="14" t="n">
        <v>59.73888888888888</v>
      </c>
      <c r="H8" s="16" t="n">
        <v>0.2455863880324312</v>
      </c>
    </row>
    <row r="9">
      <c r="A9" s="9" t="inlineStr">
        <is>
          <t>Margen % Estimado</t>
        </is>
      </c>
      <c r="B9" s="17" t="n">
        <v>0.6097512762688603</v>
      </c>
      <c r="C9" s="17" t="n">
        <v>0.617600067868739</v>
      </c>
      <c r="D9" s="18" t="n">
        <v>-0.7848791599878737</v>
      </c>
      <c r="E9" s="12" t="n">
        <v>-0.0127085342250106</v>
      </c>
      <c r="F9" s="17" t="n">
        <v>0.608936420331545</v>
      </c>
      <c r="G9" s="19" t="n">
        <v>0.08148559373152153</v>
      </c>
      <c r="H9" s="12" t="n">
        <v>0.001338162589899868</v>
      </c>
    </row>
    <row r="10">
      <c r="A10" s="13" t="inlineStr">
        <is>
          <t>Ticket Promedio $</t>
        </is>
      </c>
      <c r="B10" s="20" t="n">
        <v>1396.245478609626</v>
      </c>
      <c r="C10" s="20" t="n">
        <v>1493.818482164683</v>
      </c>
      <c r="D10" s="21" t="n">
        <v>-97.57300355505708</v>
      </c>
      <c r="E10" s="16" t="n">
        <v>-0.06531784465115512</v>
      </c>
      <c r="F10" s="20" t="n">
        <v>1329.715988352175</v>
      </c>
      <c r="G10" s="20" t="n">
        <v>66.52949025745033</v>
      </c>
      <c r="H10" s="16" t="n">
        <v>0.050032857271947</v>
      </c>
    </row>
    <row r="13">
      <c r="A13" s="3" t="inlineStr">
        <is>
          <t>Semáforo de Desempeño</t>
        </is>
      </c>
    </row>
    <row r="14">
      <c r="A14" s="4" t="inlineStr">
        <is>
          <t>Indicador</t>
        </is>
      </c>
      <c r="B14" s="4" t="inlineStr">
        <is>
          <t>Variación %</t>
        </is>
      </c>
      <c r="C14" s="4" t="inlineStr">
        <is>
          <t>Estado</t>
        </is>
      </c>
      <c r="D14" s="4" t="inlineStr">
        <is>
          <t>Lectura</t>
        </is>
      </c>
    </row>
    <row r="15">
      <c r="A15" s="22" t="inlineStr">
        <is>
          <t>WoW (vs semana anterior)</t>
        </is>
      </c>
      <c r="B15" s="23" t="inlineStr">
        <is>
          <t>-7.3%</t>
        </is>
      </c>
      <c r="C15" s="24" t="inlineStr">
        <is>
          <t>🔴 -7.3%</t>
        </is>
      </c>
      <c r="D15" s="25" t="inlineStr">
        <is>
          <t>Ligera baja — monitorear</t>
        </is>
      </c>
    </row>
    <row r="16">
      <c r="A16" s="22" t="inlineStr">
        <is>
          <t>Semana vs Mismo Período Año Ant.</t>
        </is>
      </c>
      <c r="B16" s="23" t="inlineStr">
        <is>
          <t>+34.5%</t>
        </is>
      </c>
      <c r="C16" s="26" t="inlineStr">
        <is>
          <t>🟢 +34.5%</t>
        </is>
      </c>
      <c r="D16" s="25" t="inlineStr">
        <is>
          <t>Crecimiento fuerte — identificar driver y replicar</t>
        </is>
      </c>
    </row>
    <row r="17">
      <c r="A17" s="22" t="inlineStr">
        <is>
          <t>YTD vs Mismo Corte Año Anterior</t>
        </is>
      </c>
      <c r="B17" s="23" t="inlineStr">
        <is>
          <t>+13.6%</t>
        </is>
      </c>
      <c r="C17" s="26" t="inlineStr">
        <is>
          <t>🟢 +13.6%</t>
        </is>
      </c>
      <c r="D17" s="25" t="inlineStr">
        <is>
          <t>Crecimiento sólido — sostener estrategia</t>
        </is>
      </c>
    </row>
    <row r="18">
      <c r="A18" s="22" t="inlineStr">
        <is>
          <t>vs Plan Semanal</t>
        </is>
      </c>
      <c r="B18" s="23" t="inlineStr">
        <is>
          <t>-34.3%</t>
        </is>
      </c>
      <c r="C18" s="24" t="inlineStr">
        <is>
          <t>🔴 -34.3%</t>
        </is>
      </c>
      <c r="D18" s="25" t="inlineStr">
        <is>
          <t>Atención: caída relevante — revisar causa raíz</t>
        </is>
      </c>
    </row>
    <row r="21">
      <c r="A21" s="3" t="inlineStr">
        <is>
          <t>Hallazgos Principales</t>
        </is>
      </c>
    </row>
    <row r="22">
      <c r="A22" s="4" t="inlineStr">
        <is>
          <t>#</t>
        </is>
      </c>
      <c r="B22" s="4" t="inlineStr">
        <is>
          <t>Hallazgo</t>
        </is>
      </c>
      <c r="C22" s="4" t="inlineStr">
        <is>
          <t>Tipo</t>
        </is>
      </c>
      <c r="D22" s="4" t="inlineStr">
        <is>
          <t>Impacto</t>
        </is>
      </c>
      <c r="E22" s="4" t="inlineStr">
        <is>
          <t>Recomendación</t>
        </is>
      </c>
    </row>
    <row r="23">
      <c r="A23" s="9" t="n">
        <v>1</v>
      </c>
      <c r="B23" s="27" t="inlineStr">
        <is>
          <t>Ventas 34% por debajo del plan</t>
        </is>
      </c>
      <c r="C23" s="28" t="inlineStr">
        <is>
          <t>Riesgo</t>
        </is>
      </c>
      <c r="D23" s="27" t="inlineStr">
        <is>
          <t>$2,722,318 MXN de brecha vs plan</t>
        </is>
      </c>
      <c r="E23" s="27" t="inlineStr">
        <is>
          <t>Activar plan de recuperación en canales de mayor gap</t>
        </is>
      </c>
    </row>
    <row r="24">
      <c r="A24" s="13" t="n">
        <v>2</v>
      </c>
      <c r="B24" s="29" t="inlineStr">
        <is>
          <t>YTD crece 14% vs mismo período año anterior</t>
        </is>
      </c>
      <c r="C24" s="30" t="inlineStr">
        <is>
          <t>Oportunidad</t>
        </is>
      </c>
      <c r="D24" s="29" t="inlineStr">
        <is>
          <t>$16,899,279 MXN acumulados adicionales</t>
        </is>
      </c>
      <c r="E24" s="29" t="inlineStr">
        <is>
          <t>Sostener ritmo; monitorear capacidad operativa</t>
        </is>
      </c>
    </row>
    <row r="25">
      <c r="A25" s="9" t="n">
        <v>3</v>
      </c>
      <c r="B25" s="27" t="inlineStr">
        <is>
          <t>Contexto de mercado no disponible en datos internos</t>
        </is>
      </c>
      <c r="C25" s="31" t="inlineStr">
        <is>
          <t>Información</t>
        </is>
      </c>
      <c r="D25" s="27" t="inlineStr">
        <is>
          <t>N/D</t>
        </is>
      </c>
      <c r="E25" s="27" t="inlineStr">
        <is>
          <t>Complementar con datos de exportaciones CRT y precio de agave</t>
        </is>
      </c>
    </row>
  </sheetData>
  <mergeCells count="5">
    <mergeCell ref="A4:B4"/>
    <mergeCell ref="A2:I2"/>
    <mergeCell ref="A13:F13"/>
    <mergeCell ref="A1:I1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20" customWidth="1" min="7" max="7"/>
  </cols>
  <sheetData>
    <row r="1">
      <c r="A1" s="1" t="inlineStr">
        <is>
          <t>Comparativo de Periodos — Semana 30 · 2026 — Ventas sin IVA (MXN)</t>
        </is>
      </c>
    </row>
    <row r="2">
      <c r="A2" s="2" t="inlineStr">
        <is>
          <t>Ventanas comparativas: WoW | Semana vs Mismo Período Año Anterior | YTD vs LY | Rolling 52 sem (si aplica)</t>
        </is>
      </c>
    </row>
    <row r="4">
      <c r="A4" s="3" t="inlineStr">
        <is>
          <t>Bloque A — Semana a Semana (WoW): S30 vs S29</t>
        </is>
      </c>
    </row>
    <row r="5">
      <c r="A5" s="4" t="inlineStr">
        <is>
          <t>Semana 30-2026</t>
        </is>
      </c>
      <c r="B5" s="4" t="inlineStr">
        <is>
          <t>Semana 29-2026</t>
        </is>
      </c>
      <c r="C5" s="4" t="inlineStr">
        <is>
          <t>Variación $</t>
        </is>
      </c>
      <c r="D5" s="4" t="inlineStr">
        <is>
          <t>Variación %</t>
        </is>
      </c>
      <c r="E5" s="4" t="inlineStr">
        <is>
          <t>Tendencia</t>
        </is>
      </c>
    </row>
    <row r="6">
      <c r="A6" s="32" t="n">
        <v>5221958.09</v>
      </c>
      <c r="B6" s="33" t="n">
        <v>5633073.899999999</v>
      </c>
      <c r="C6" s="7" t="n">
        <v>-411115.8099999996</v>
      </c>
      <c r="D6" s="34" t="n">
        <v>-0.07298249895141615</v>
      </c>
      <c r="E6" s="35" t="inlineStr">
        <is>
          <t>▼</t>
        </is>
      </c>
    </row>
    <row r="7">
      <c r="A7" s="36" t="inlineStr">
        <is>
          <t>Botellas: 3,740   Margen: $3,184,096   Ticket Prom.: $1,396.25</t>
        </is>
      </c>
    </row>
    <row r="11">
      <c r="A11" s="3" t="inlineStr">
        <is>
          <t>Bloque B — Semana vs Mismo Período Año Anterior: S30-2026 vs S30-2025</t>
        </is>
      </c>
    </row>
    <row r="12">
      <c r="A12" s="4" t="inlineStr">
        <is>
          <t>S30-2026</t>
        </is>
      </c>
      <c r="B12" s="4" t="inlineStr">
        <is>
          <t>S30-2025</t>
        </is>
      </c>
      <c r="C12" s="4" t="inlineStr">
        <is>
          <t>Variación $</t>
        </is>
      </c>
      <c r="D12" s="4" t="inlineStr">
        <is>
          <t>Variación %</t>
        </is>
      </c>
      <c r="E12" s="4" t="inlineStr">
        <is>
          <t>Tendencia</t>
        </is>
      </c>
    </row>
    <row r="13">
      <c r="A13" s="32" t="n">
        <v>5221958.09</v>
      </c>
      <c r="B13" s="33" t="n">
        <v>3881440.97</v>
      </c>
      <c r="C13" s="33" t="n">
        <v>1340517.12</v>
      </c>
      <c r="D13" s="34" t="n">
        <v>0.3453658397386369</v>
      </c>
      <c r="E13" s="37" t="inlineStr">
        <is>
          <t>▲</t>
        </is>
      </c>
    </row>
    <row r="18">
      <c r="A18" s="3" t="inlineStr">
        <is>
          <t>Bloque C — Acumulado del Año (YTD): 2026 vs 2025 (hasta S30)</t>
        </is>
      </c>
    </row>
    <row r="19">
      <c r="A19" s="4" t="inlineStr">
        <is>
          <t>YTD 2026 (S01–S30)</t>
        </is>
      </c>
      <c r="B19" s="4" t="inlineStr">
        <is>
          <t>YTD 2025 (S01–S30)</t>
        </is>
      </c>
      <c r="C19" s="4" t="inlineStr">
        <is>
          <t>Variación $</t>
        </is>
      </c>
      <c r="D19" s="4" t="inlineStr">
        <is>
          <t>Variación %</t>
        </is>
      </c>
      <c r="E19" s="4" t="inlineStr">
        <is>
          <t>Tendencia</t>
        </is>
      </c>
    </row>
    <row r="20">
      <c r="A20" s="32" t="n">
        <v>141522440.37</v>
      </c>
      <c r="B20" s="33" t="n">
        <v>124623161.16</v>
      </c>
      <c r="C20" s="33" t="n">
        <v>16899279.21000001</v>
      </c>
      <c r="D20" s="34" t="n">
        <v>0.135603037611151</v>
      </c>
      <c r="E20" s="37" t="inlineStr">
        <is>
          <t>▲</t>
        </is>
      </c>
    </row>
    <row r="26">
      <c r="A26" s="3" t="inlineStr">
        <is>
          <t>Bloque D — Rolling 52 Semanas (52 sem con datos)</t>
        </is>
      </c>
    </row>
    <row r="27">
      <c r="A27" s="4" t="inlineStr">
        <is>
          <t>Rolling 52 sem hasta S30-2026</t>
        </is>
      </c>
      <c r="B27" s="4" t="inlineStr">
        <is>
          <t>Rolling 52 sem hasta S30-2025</t>
        </is>
      </c>
      <c r="C27" s="4" t="inlineStr">
        <is>
          <t>Variación $</t>
        </is>
      </c>
      <c r="D27" s="4" t="inlineStr">
        <is>
          <t>Variación %</t>
        </is>
      </c>
      <c r="E27" s="4" t="inlineStr">
        <is>
          <t>Tendencia</t>
        </is>
      </c>
    </row>
    <row r="28">
      <c r="A28" s="32" t="n">
        <v>282322475.16</v>
      </c>
      <c r="B28" s="33" t="n">
        <v>238577055.21</v>
      </c>
      <c r="C28" s="33" t="n">
        <v>43745419.95000002</v>
      </c>
      <c r="D28" s="34" t="n">
        <v>0.1833597112324757</v>
      </c>
      <c r="E28" s="37" t="inlineStr">
        <is>
          <t>▲</t>
        </is>
      </c>
    </row>
    <row r="34">
      <c r="A34" s="3" t="inlineStr">
        <is>
          <t>Serie Semanal Completa 2026 — Ventas Netas vs Año Anterior (S01–S30)</t>
        </is>
      </c>
    </row>
    <row r="35">
      <c r="A35" s="4" t="inlineStr">
        <is>
          <t>Semana</t>
        </is>
      </c>
      <c r="B35" s="4" t="inlineStr">
        <is>
          <t>Ventas 2026 $</t>
        </is>
      </c>
      <c r="C35" s="4" t="inlineStr">
        <is>
          <t>Ventas 2025 $</t>
        </is>
      </c>
      <c r="D35" s="4" t="inlineStr">
        <is>
          <t>Plan $</t>
        </is>
      </c>
      <c r="E35" s="4" t="inlineStr">
        <is>
          <t>Var vs Plan $</t>
        </is>
      </c>
      <c r="F35" s="4" t="inlineStr">
        <is>
          <t>Var vs Plan %</t>
        </is>
      </c>
      <c r="G35" s="4" t="inlineStr">
        <is>
          <t>Promedio Móvil 4 sem</t>
        </is>
      </c>
    </row>
    <row r="36">
      <c r="A36" s="13" t="inlineStr">
        <is>
          <t>W01</t>
        </is>
      </c>
      <c r="B36" s="38" t="n">
        <v>1929059.18</v>
      </c>
      <c r="C36" s="38" t="n">
        <v>3944795.4</v>
      </c>
      <c r="D36" s="38" t="n">
        <v>4917885.2</v>
      </c>
      <c r="E36" s="39" t="n">
        <v>-2988826.02</v>
      </c>
      <c r="F36" s="40" t="n">
        <v>-0.6077461954581617</v>
      </c>
      <c r="G36" s="38" t="n">
        <v>1929059.18</v>
      </c>
    </row>
    <row r="37">
      <c r="A37" s="9" t="inlineStr">
        <is>
          <t>W02</t>
        </is>
      </c>
      <c r="B37" s="41" t="n">
        <v>3687392.33</v>
      </c>
      <c r="C37" s="41" t="n">
        <v>3169298.44</v>
      </c>
      <c r="D37" s="41" t="n">
        <v>4917885.2</v>
      </c>
      <c r="E37" s="42" t="n">
        <v>-1230492.87</v>
      </c>
      <c r="F37" s="17" t="n">
        <v>-0.2502077254670361</v>
      </c>
      <c r="G37" s="41" t="n">
        <v>2808225.755</v>
      </c>
    </row>
    <row r="38">
      <c r="A38" s="13" t="inlineStr">
        <is>
          <t>W03</t>
        </is>
      </c>
      <c r="B38" s="38" t="n">
        <v>4759751.26</v>
      </c>
      <c r="C38" s="38" t="n">
        <v>4065810.3</v>
      </c>
      <c r="D38" s="38" t="n">
        <v>4917885.2</v>
      </c>
      <c r="E38" s="39" t="n">
        <v>-158133.9400000004</v>
      </c>
      <c r="F38" s="40" t="n">
        <v>-0.03215486607942789</v>
      </c>
      <c r="G38" s="38" t="n">
        <v>3458734.256666666</v>
      </c>
    </row>
    <row r="39">
      <c r="A39" s="9" t="inlineStr">
        <is>
          <t>W04</t>
        </is>
      </c>
      <c r="B39" s="41" t="n">
        <v>3598731.43</v>
      </c>
      <c r="C39" s="41" t="n">
        <v>3702892.78</v>
      </c>
      <c r="D39" s="41" t="n">
        <v>4917885.2</v>
      </c>
      <c r="E39" s="42" t="n">
        <v>-1319153.77</v>
      </c>
      <c r="F39" s="17" t="n">
        <v>-0.2682359828163536</v>
      </c>
      <c r="G39" s="41" t="n">
        <v>3493733.55</v>
      </c>
    </row>
    <row r="40">
      <c r="A40" s="13" t="inlineStr">
        <is>
          <t>W05</t>
        </is>
      </c>
      <c r="B40" s="38" t="n">
        <v>3562190.49</v>
      </c>
      <c r="C40" s="38" t="n">
        <v>2996338.69</v>
      </c>
      <c r="D40" s="38" t="n">
        <v>4917885.2</v>
      </c>
      <c r="E40" s="39" t="n">
        <v>-1355694.71</v>
      </c>
      <c r="F40" s="40" t="n">
        <v>-0.2756661969254589</v>
      </c>
      <c r="G40" s="38" t="n">
        <v>3902016.3775</v>
      </c>
    </row>
    <row r="41">
      <c r="A41" s="9" t="inlineStr">
        <is>
          <t>W06</t>
        </is>
      </c>
      <c r="B41" s="41" t="n">
        <v>5073796.81</v>
      </c>
      <c r="C41" s="41" t="n">
        <v>3762591.77</v>
      </c>
      <c r="D41" s="41" t="n">
        <v>5296184.03</v>
      </c>
      <c r="E41" s="42" t="n">
        <v>-222387.2200000007</v>
      </c>
      <c r="F41" s="17" t="n">
        <v>-0.04199008545403598</v>
      </c>
      <c r="G41" s="41" t="n">
        <v>4248617.497500001</v>
      </c>
    </row>
    <row r="42">
      <c r="A42" s="13" t="inlineStr">
        <is>
          <t>W07</t>
        </is>
      </c>
      <c r="B42" s="38" t="n">
        <v>4890625.96</v>
      </c>
      <c r="C42" s="38" t="n">
        <v>4221751.9</v>
      </c>
      <c r="D42" s="38" t="n">
        <v>5296184.03</v>
      </c>
      <c r="E42" s="39" t="n">
        <v>-405558.0700000003</v>
      </c>
      <c r="F42" s="40" t="n">
        <v>-0.0765755245102388</v>
      </c>
      <c r="G42" s="38" t="n">
        <v>4281336.1725</v>
      </c>
    </row>
    <row r="43">
      <c r="A43" s="9" t="inlineStr">
        <is>
          <t>W08</t>
        </is>
      </c>
      <c r="B43" s="41" t="n">
        <v>5285060.52</v>
      </c>
      <c r="C43" s="41" t="n">
        <v>4731704.84</v>
      </c>
      <c r="D43" s="41" t="n">
        <v>5296184.03</v>
      </c>
      <c r="E43" s="42" t="n">
        <v>-11123.50999999978</v>
      </c>
      <c r="F43" s="17" t="n">
        <v>-0.00210028766692984</v>
      </c>
      <c r="G43" s="41" t="n">
        <v>4702918.445</v>
      </c>
    </row>
    <row r="44">
      <c r="A44" s="13" t="inlineStr">
        <is>
          <t>W09</t>
        </is>
      </c>
      <c r="B44" s="38" t="n">
        <v>5213343.16</v>
      </c>
      <c r="C44" s="38" t="n">
        <v>3895546.74</v>
      </c>
      <c r="D44" s="38" t="n">
        <v>5296184.03</v>
      </c>
      <c r="E44" s="39" t="n">
        <v>-82840.87000000011</v>
      </c>
      <c r="F44" s="40" t="n">
        <v>-0.01564161470423831</v>
      </c>
      <c r="G44" s="38" t="n">
        <v>5115706.612500001</v>
      </c>
    </row>
    <row r="45">
      <c r="A45" s="9" t="inlineStr">
        <is>
          <t>W10</t>
        </is>
      </c>
      <c r="B45" s="41" t="n">
        <v>4549449.88</v>
      </c>
      <c r="C45" s="41" t="n">
        <v>3945967.58</v>
      </c>
      <c r="D45" s="41" t="n">
        <v>6431080.6</v>
      </c>
      <c r="E45" s="42" t="n">
        <v>-1881630.72</v>
      </c>
      <c r="F45" s="17" t="n">
        <v>-0.2925839119478614</v>
      </c>
      <c r="G45" s="41" t="n">
        <v>4984619.88</v>
      </c>
    </row>
    <row r="46">
      <c r="A46" s="13" t="inlineStr">
        <is>
          <t>W11</t>
        </is>
      </c>
      <c r="B46" s="38" t="n">
        <v>3969788.21</v>
      </c>
      <c r="C46" s="38" t="n">
        <v>3305585.86</v>
      </c>
      <c r="D46" s="38" t="n">
        <v>6431080.6</v>
      </c>
      <c r="E46" s="39" t="n">
        <v>-2461292.39</v>
      </c>
      <c r="F46" s="40" t="n">
        <v>-0.3827183241957813</v>
      </c>
      <c r="G46" s="38" t="n">
        <v>4754410.4425</v>
      </c>
    </row>
    <row r="47">
      <c r="A47" s="9" t="inlineStr">
        <is>
          <t>W12</t>
        </is>
      </c>
      <c r="B47" s="41" t="n">
        <v>5039221.18</v>
      </c>
      <c r="C47" s="41" t="n">
        <v>3687686.5</v>
      </c>
      <c r="D47" s="41" t="n">
        <v>6431080.6</v>
      </c>
      <c r="E47" s="42" t="n">
        <v>-1391859.42</v>
      </c>
      <c r="F47" s="17" t="n">
        <v>-0.2164269905122943</v>
      </c>
      <c r="G47" s="41" t="n">
        <v>4692950.6075</v>
      </c>
    </row>
    <row r="48">
      <c r="A48" s="13" t="inlineStr">
        <is>
          <t>W13</t>
        </is>
      </c>
      <c r="B48" s="38" t="n">
        <v>4027266.22</v>
      </c>
      <c r="C48" s="38" t="n">
        <v>4099529.72</v>
      </c>
      <c r="D48" s="38" t="n">
        <v>6431080.6</v>
      </c>
      <c r="E48" s="39" t="n">
        <v>-2403814.38</v>
      </c>
      <c r="F48" s="40" t="n">
        <v>-0.3737807888770668</v>
      </c>
      <c r="G48" s="38" t="n">
        <v>4396431.3725</v>
      </c>
    </row>
    <row r="49">
      <c r="A49" s="9" t="inlineStr">
        <is>
          <t>W14</t>
        </is>
      </c>
      <c r="B49" s="41" t="n">
        <v>5147915.81</v>
      </c>
      <c r="C49" s="41" t="n">
        <v>4284933.47</v>
      </c>
      <c r="D49" s="41" t="n">
        <v>7187678.38</v>
      </c>
      <c r="E49" s="42" t="n">
        <v>-2039762.57</v>
      </c>
      <c r="F49" s="17" t="n">
        <v>-0.2837860101915134</v>
      </c>
      <c r="G49" s="41" t="n">
        <v>4546047.855</v>
      </c>
    </row>
    <row r="50">
      <c r="A50" s="13" t="inlineStr">
        <is>
          <t>W15</t>
        </is>
      </c>
      <c r="B50" s="38" t="n">
        <v>4646098.23</v>
      </c>
      <c r="C50" s="38" t="n">
        <v>4527534.62</v>
      </c>
      <c r="D50" s="38" t="n">
        <v>7187678.38</v>
      </c>
      <c r="E50" s="39" t="n">
        <v>-2541580.149999999</v>
      </c>
      <c r="F50" s="40" t="n">
        <v>-0.3536023755698428</v>
      </c>
      <c r="G50" s="38" t="n">
        <v>4715125.359999999</v>
      </c>
    </row>
    <row r="51">
      <c r="A51" s="9" t="inlineStr">
        <is>
          <t>W16</t>
        </is>
      </c>
      <c r="B51" s="41" t="n">
        <v>4827975.99</v>
      </c>
      <c r="C51" s="41" t="n">
        <v>3578683.78</v>
      </c>
      <c r="D51" s="41" t="n">
        <v>7187678.38</v>
      </c>
      <c r="E51" s="42" t="n">
        <v>-2359702.39</v>
      </c>
      <c r="F51" s="17" t="n">
        <v>-0.328298271743205</v>
      </c>
      <c r="G51" s="41" t="n">
        <v>4662314.0625</v>
      </c>
    </row>
    <row r="52">
      <c r="A52" s="13" t="inlineStr">
        <is>
          <t>W17</t>
        </is>
      </c>
      <c r="B52" s="38" t="n">
        <v>4765151.7</v>
      </c>
      <c r="C52" s="38" t="n">
        <v>4171100.52</v>
      </c>
      <c r="D52" s="38" t="n">
        <v>7187678.38</v>
      </c>
      <c r="E52" s="39" t="n">
        <v>-2422526.68</v>
      </c>
      <c r="F52" s="40" t="n">
        <v>-0.337038825601988</v>
      </c>
      <c r="G52" s="38" t="n">
        <v>4846785.4325</v>
      </c>
    </row>
    <row r="53">
      <c r="A53" s="9" t="inlineStr">
        <is>
          <t>W18</t>
        </is>
      </c>
      <c r="B53" s="41" t="n">
        <v>4759926.72</v>
      </c>
      <c r="C53" s="41" t="n">
        <v>5038725.5</v>
      </c>
      <c r="D53" s="41" t="n">
        <v>7187678.38</v>
      </c>
      <c r="E53" s="42" t="n">
        <v>-2427751.66</v>
      </c>
      <c r="F53" s="17" t="n">
        <v>-0.3377657612999652</v>
      </c>
      <c r="G53" s="41" t="n">
        <v>4749788.16</v>
      </c>
    </row>
    <row r="54">
      <c r="A54" s="13" t="inlineStr">
        <is>
          <t>W19</t>
        </is>
      </c>
      <c r="B54" s="38" t="n">
        <v>5803923.37</v>
      </c>
      <c r="C54" s="38" t="n">
        <v>4851397.37</v>
      </c>
      <c r="D54" s="38" t="n">
        <v>7187678.38</v>
      </c>
      <c r="E54" s="39" t="n">
        <v>-1383755.01</v>
      </c>
      <c r="F54" s="40" t="n">
        <v>-0.1925176582539298</v>
      </c>
      <c r="G54" s="38" t="n">
        <v>5039244.445</v>
      </c>
    </row>
    <row r="55">
      <c r="A55" s="9" t="inlineStr">
        <is>
          <t>W20</t>
        </is>
      </c>
      <c r="B55" s="41" t="n">
        <v>5228650.36</v>
      </c>
      <c r="C55" s="41" t="n">
        <v>5247250.02</v>
      </c>
      <c r="D55" s="41" t="n">
        <v>7187678.38</v>
      </c>
      <c r="E55" s="42" t="n">
        <v>-1959028.02</v>
      </c>
      <c r="F55" s="17" t="n">
        <v>-0.2725536559135802</v>
      </c>
      <c r="G55" s="41" t="n">
        <v>5139413.0375</v>
      </c>
    </row>
    <row r="56">
      <c r="A56" s="13" t="inlineStr">
        <is>
          <t>W21</t>
        </is>
      </c>
      <c r="B56" s="38" t="n">
        <v>5515048.22</v>
      </c>
      <c r="C56" s="38" t="n">
        <v>4846130.88</v>
      </c>
      <c r="D56" s="38" t="n">
        <v>7187678.38</v>
      </c>
      <c r="E56" s="39" t="n">
        <v>-1672630.16</v>
      </c>
      <c r="F56" s="40" t="n">
        <v>-0.2327079860242717</v>
      </c>
      <c r="G56" s="38" t="n">
        <v>5326887.1675</v>
      </c>
    </row>
    <row r="57">
      <c r="A57" s="9" t="inlineStr">
        <is>
          <t>W22</t>
        </is>
      </c>
      <c r="B57" s="41" t="n">
        <v>5334407.68</v>
      </c>
      <c r="C57" s="41" t="n">
        <v>4550086.07</v>
      </c>
      <c r="D57" s="41" t="n">
        <v>7187678.38</v>
      </c>
      <c r="E57" s="42" t="n">
        <v>-1853270.7</v>
      </c>
      <c r="F57" s="17" t="n">
        <v>-0.2578399591663421</v>
      </c>
      <c r="G57" s="41" t="n">
        <v>5470507.4075</v>
      </c>
    </row>
    <row r="58">
      <c r="A58" s="13" t="inlineStr">
        <is>
          <t>W23</t>
        </is>
      </c>
      <c r="B58" s="38" t="n">
        <v>4634158.33</v>
      </c>
      <c r="C58" s="38" t="n">
        <v>4127602.94</v>
      </c>
      <c r="D58" s="38" t="n">
        <v>7944276.07</v>
      </c>
      <c r="E58" s="39" t="n">
        <v>-3310117.74</v>
      </c>
      <c r="F58" s="40" t="n">
        <v>-0.416667007897675</v>
      </c>
      <c r="G58" s="38" t="n">
        <v>5178066.1475</v>
      </c>
    </row>
    <row r="59">
      <c r="A59" s="9" t="inlineStr">
        <is>
          <t>W24</t>
        </is>
      </c>
      <c r="B59" s="41" t="n">
        <v>4520732.32</v>
      </c>
      <c r="C59" s="41" t="n">
        <v>4258429.59</v>
      </c>
      <c r="D59" s="41" t="n">
        <v>7944276.07</v>
      </c>
      <c r="E59" s="42" t="n">
        <v>-3423543.75</v>
      </c>
      <c r="F59" s="17" t="n">
        <v>-0.430944710359241</v>
      </c>
      <c r="G59" s="41" t="n">
        <v>5001086.6375</v>
      </c>
    </row>
    <row r="60">
      <c r="A60" s="13" t="inlineStr">
        <is>
          <t>W25</t>
        </is>
      </c>
      <c r="B60" s="38" t="n">
        <v>4197220.4</v>
      </c>
      <c r="C60" s="38" t="n">
        <v>3966088.35</v>
      </c>
      <c r="D60" s="38" t="n">
        <v>7944276.07</v>
      </c>
      <c r="E60" s="39" t="n">
        <v>-3747055.67</v>
      </c>
      <c r="F60" s="40" t="n">
        <v>-0.471667353574232</v>
      </c>
      <c r="G60" s="38" t="n">
        <v>4671629.6825</v>
      </c>
    </row>
    <row r="61">
      <c r="A61" s="9" t="inlineStr">
        <is>
          <t>W26</t>
        </is>
      </c>
      <c r="B61" s="41" t="n">
        <v>4882610.21</v>
      </c>
      <c r="C61" s="41" t="n">
        <v>3890243.08</v>
      </c>
      <c r="D61" s="41" t="n">
        <v>7944276.07</v>
      </c>
      <c r="E61" s="42" t="n">
        <v>-3061665.86</v>
      </c>
      <c r="F61" s="17" t="n">
        <v>-0.385392681853263</v>
      </c>
      <c r="G61" s="41" t="n">
        <v>4558680.315</v>
      </c>
    </row>
    <row r="62">
      <c r="A62" s="13" t="inlineStr">
        <is>
          <t>W27</t>
        </is>
      </c>
      <c r="B62" s="38" t="n">
        <v>5073951.98</v>
      </c>
      <c r="C62" s="38" t="n">
        <v>5040869.68</v>
      </c>
      <c r="D62" s="38" t="n">
        <v>7944276.07</v>
      </c>
      <c r="E62" s="39" t="n">
        <v>-2870324.09</v>
      </c>
      <c r="F62" s="40" t="n">
        <v>-0.3613071933437982</v>
      </c>
      <c r="G62" s="38" t="n">
        <v>4668628.7275</v>
      </c>
    </row>
    <row r="63">
      <c r="A63" s="9" t="inlineStr">
        <is>
          <t>W28</t>
        </is>
      </c>
      <c r="B63" s="41" t="n">
        <v>5743960.43</v>
      </c>
      <c r="C63" s="41" t="n">
        <v>4274004.93</v>
      </c>
      <c r="D63" s="41" t="n">
        <v>7944276.07</v>
      </c>
      <c r="E63" s="42" t="n">
        <v>-2200315.640000001</v>
      </c>
      <c r="F63" s="17" t="n">
        <v>-0.2769686779024537</v>
      </c>
      <c r="G63" s="41" t="n">
        <v>4974435.755</v>
      </c>
    </row>
    <row r="64">
      <c r="A64" s="13" t="inlineStr">
        <is>
          <t>W29</t>
        </is>
      </c>
      <c r="B64" s="38" t="n">
        <v>5633073.9</v>
      </c>
      <c r="C64" s="38" t="n">
        <v>4559138.87</v>
      </c>
      <c r="D64" s="38" t="n">
        <v>7944276.07</v>
      </c>
      <c r="E64" s="39" t="n">
        <v>-2311202.17</v>
      </c>
      <c r="F64" s="40" t="n">
        <v>-0.2909267187639414</v>
      </c>
      <c r="G64" s="38" t="n">
        <v>5333399.130000001</v>
      </c>
    </row>
    <row r="65">
      <c r="A65" s="43" t="inlineStr">
        <is>
          <t>W30</t>
        </is>
      </c>
      <c r="B65" s="33" t="n">
        <v>5221958.09</v>
      </c>
      <c r="C65" s="33" t="n">
        <v>3881440.97</v>
      </c>
      <c r="D65" s="33" t="n">
        <v>7944276.07</v>
      </c>
      <c r="E65" s="7" t="n">
        <v>-2722317.98</v>
      </c>
      <c r="F65" s="34" t="n">
        <v>-0.3426766587682294</v>
      </c>
      <c r="G65" s="33" t="n">
        <v>5418236.1</v>
      </c>
    </row>
  </sheetData>
  <mergeCells count="8">
    <mergeCell ref="A1:G1"/>
    <mergeCell ref="A18:G18"/>
    <mergeCell ref="A34:G34"/>
    <mergeCell ref="A4:G4"/>
    <mergeCell ref="A26:G26"/>
    <mergeCell ref="A2:G2"/>
    <mergeCell ref="A7:G7"/>
    <mergeCell ref="A11:G1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Análisis por Producto — Ranking y Tendencia</t>
        </is>
      </c>
    </row>
    <row r="3">
      <c r="A3" s="3" t="inlineStr">
        <is>
          <t>Ranking por Volumen de Ventas (YTD)</t>
        </is>
      </c>
    </row>
    <row r="4">
      <c r="A4" s="4" t="inlineStr">
        <is>
          <t>Producto</t>
        </is>
      </c>
      <c r="B4" s="4" t="inlineStr">
        <is>
          <t>Ventas Netas $</t>
        </is>
      </c>
      <c r="C4" s="4" t="inlineStr">
        <is>
          <t>Botellas</t>
        </is>
      </c>
      <c r="D4" s="4" t="inlineStr">
        <is>
          <t>Cajas 9L</t>
        </is>
      </c>
      <c r="E4" s="4" t="inlineStr">
        <is>
          <t>Margen $</t>
        </is>
      </c>
      <c r="F4" s="4" t="inlineStr">
        <is>
          <t>Margen %</t>
        </is>
      </c>
      <c r="G4" s="4" t="inlineStr">
        <is>
          <t>Participación %</t>
        </is>
      </c>
    </row>
    <row r="5">
      <c r="A5" s="43" t="inlineStr">
        <is>
          <t>Loco Blanco</t>
        </is>
      </c>
      <c r="B5" s="33" t="n">
        <v>29500981.42</v>
      </c>
      <c r="C5" s="44" t="n">
        <v>31250</v>
      </c>
      <c r="D5" s="44" t="n">
        <v>2604.166666666667</v>
      </c>
      <c r="E5" s="33" t="n">
        <v>16225540.45</v>
      </c>
      <c r="F5" s="34" t="n">
        <v>0.5500000226772116</v>
      </c>
      <c r="G5" s="34" t="n">
        <v>0.2084544425807798</v>
      </c>
    </row>
    <row r="6">
      <c r="A6" s="13" t="inlineStr">
        <is>
          <t>Puro Corazón</t>
        </is>
      </c>
      <c r="B6" s="38" t="n">
        <v>23677031.46</v>
      </c>
      <c r="C6" s="14" t="n">
        <v>18849</v>
      </c>
      <c r="D6" s="14" t="n">
        <v>1570.75</v>
      </c>
      <c r="E6" s="38" t="n">
        <v>13732678.33</v>
      </c>
      <c r="F6" s="40" t="n">
        <v>0.580000003513954</v>
      </c>
      <c r="G6" s="40" t="n">
        <v>0.1673023119026081</v>
      </c>
    </row>
    <row r="7">
      <c r="A7" s="9" t="inlineStr">
        <is>
          <t>Loco Ámbar</t>
        </is>
      </c>
      <c r="B7" s="41" t="n">
        <v>24824006.06</v>
      </c>
      <c r="C7" s="10" t="n">
        <v>15841</v>
      </c>
      <c r="D7" s="10" t="n">
        <v>1320.083333333333</v>
      </c>
      <c r="E7" s="41" t="n">
        <v>14894403.72</v>
      </c>
      <c r="F7" s="17" t="n">
        <v>0.6000000033838213</v>
      </c>
      <c r="G7" s="17" t="n">
        <v>0.1754068541716738</v>
      </c>
    </row>
    <row r="8">
      <c r="A8" s="13" t="inlineStr">
        <is>
          <t>Loco 269</t>
        </is>
      </c>
      <c r="B8" s="38" t="n">
        <v>15000356.12</v>
      </c>
      <c r="C8" s="14" t="n">
        <v>7926</v>
      </c>
      <c r="D8" s="14" t="n">
        <v>660.5</v>
      </c>
      <c r="E8" s="38" t="n">
        <v>9600227.92</v>
      </c>
      <c r="F8" s="40" t="n">
        <v>0.6400000002133283</v>
      </c>
      <c r="G8" s="40" t="n">
        <v>0.1059927745789478</v>
      </c>
    </row>
    <row r="9">
      <c r="A9" s="9" t="inlineStr">
        <is>
          <t>Loco Áureo</t>
        </is>
      </c>
      <c r="B9" s="41" t="n">
        <v>14154482.6</v>
      </c>
      <c r="C9" s="10" t="n">
        <v>4211</v>
      </c>
      <c r="D9" s="10" t="n">
        <v>350.9166666666667</v>
      </c>
      <c r="E9" s="41" t="n">
        <v>9908137.810000001</v>
      </c>
      <c r="F9" s="17" t="n">
        <v>0.6999999992935101</v>
      </c>
      <c r="G9" s="17" t="n">
        <v>0.1000158177246954</v>
      </c>
    </row>
    <row r="10">
      <c r="A10" s="13" t="inlineStr">
        <is>
          <t>Loco 200</t>
        </is>
      </c>
      <c r="B10" s="38" t="n">
        <v>2702796.79</v>
      </c>
      <c r="C10" s="14" t="n">
        <v>4325</v>
      </c>
      <c r="D10" s="14" t="n">
        <v>360.4166666666667</v>
      </c>
      <c r="E10" s="38" t="n">
        <v>1351398.35</v>
      </c>
      <c r="F10" s="40" t="n">
        <v>0.4999999833505797</v>
      </c>
      <c r="G10" s="40" t="n">
        <v>0.01909800864748895</v>
      </c>
    </row>
    <row r="11">
      <c r="A11" s="9" t="inlineStr">
        <is>
          <t>Loco 200 ml</t>
        </is>
      </c>
      <c r="B11" s="41" t="n">
        <v>1238747.55</v>
      </c>
      <c r="C11" s="10" t="n">
        <v>3905</v>
      </c>
      <c r="D11" s="10" t="n">
        <v>86.77777777777777</v>
      </c>
      <c r="E11" s="41" t="n">
        <v>594598.9</v>
      </c>
      <c r="F11" s="17" t="n">
        <v>0.480000061352291</v>
      </c>
      <c r="G11" s="17" t="n">
        <v>0.008753011513660912</v>
      </c>
    </row>
    <row r="12">
      <c r="A12" s="13" t="inlineStr">
        <is>
          <t>Loco Ambar (Vap caja piel)</t>
        </is>
      </c>
      <c r="B12" s="38" t="n">
        <v>4674228.11</v>
      </c>
      <c r="C12" s="14" t="n">
        <v>2127</v>
      </c>
      <c r="D12" s="14" t="n">
        <v>177.25</v>
      </c>
      <c r="E12" s="38" t="n">
        <v>2944763.67</v>
      </c>
      <c r="F12" s="40" t="n">
        <v>0.6299999915921947</v>
      </c>
      <c r="G12" s="40" t="n">
        <v>0.03302817629331133</v>
      </c>
    </row>
    <row r="13">
      <c r="A13" s="9" t="inlineStr">
        <is>
          <t>Loco Áureo Elevacion</t>
        </is>
      </c>
      <c r="B13" s="41" t="n">
        <v>8087888.79</v>
      </c>
      <c r="C13" s="10" t="n">
        <v>1838</v>
      </c>
      <c r="D13" s="10" t="n">
        <v>153.1666666666667</v>
      </c>
      <c r="E13" s="41" t="n">
        <v>5823279.86</v>
      </c>
      <c r="F13" s="17" t="n">
        <v>0.7199999914934538</v>
      </c>
      <c r="G13" s="17" t="n">
        <v>0.05714916142524683</v>
      </c>
    </row>
    <row r="14">
      <c r="A14" s="13" t="inlineStr">
        <is>
          <t>Vap Loco Ambar (2 copas)</t>
        </is>
      </c>
      <c r="B14" s="38" t="n">
        <v>5564080.64</v>
      </c>
      <c r="C14" s="14" t="n">
        <v>3030</v>
      </c>
      <c r="D14" s="14" t="n">
        <v>252.5</v>
      </c>
      <c r="E14" s="38" t="n">
        <v>3449730</v>
      </c>
      <c r="F14" s="40" t="n">
        <v>0.6200000005751175</v>
      </c>
      <c r="G14" s="40" t="n">
        <v>0.03931588958933382</v>
      </c>
    </row>
    <row r="15">
      <c r="A15" s="9" t="inlineStr">
        <is>
          <t>Vap Loco Blanco (2 copas)</t>
        </is>
      </c>
      <c r="B15" s="41" t="n">
        <v>7182591.14</v>
      </c>
      <c r="C15" s="10" t="n">
        <v>5952</v>
      </c>
      <c r="D15" s="10" t="n">
        <v>496</v>
      </c>
      <c r="E15" s="41" t="n">
        <v>4453206.37</v>
      </c>
      <c r="F15" s="17" t="n">
        <v>0.6199999809539487</v>
      </c>
      <c r="G15" s="17" t="n">
        <v>0.05075231264541259</v>
      </c>
    </row>
    <row r="16">
      <c r="A16" s="13" t="inlineStr">
        <is>
          <t>Vap Puro Corazon (2 copas)</t>
        </is>
      </c>
      <c r="B16" s="38" t="n">
        <v>4915249.69</v>
      </c>
      <c r="C16" s="14" t="n">
        <v>3262</v>
      </c>
      <c r="D16" s="14" t="n">
        <v>271.8333333333333</v>
      </c>
      <c r="E16" s="38" t="n">
        <v>3047454.76</v>
      </c>
      <c r="F16" s="40" t="n">
        <v>0.6199999902751633</v>
      </c>
      <c r="G16" s="40" t="n">
        <v>0.03473123892684045</v>
      </c>
    </row>
    <row r="17">
      <c r="A17" s="5" t="inlineStr">
        <is>
          <t>Total</t>
        </is>
      </c>
      <c r="B17" s="6" t="n">
        <v>141522440.37</v>
      </c>
      <c r="C17" s="45" t="n">
        <v>102516</v>
      </c>
      <c r="D17" s="46" t="n">
        <v>8304.361111111111</v>
      </c>
      <c r="E17" s="46" t="n">
        <v>86025420.14000002</v>
      </c>
      <c r="F17" s="46" t="inlineStr">
        <is>
          <t>—</t>
        </is>
      </c>
      <c r="G17" s="46" t="inlineStr">
        <is>
          <t>100%</t>
        </is>
      </c>
    </row>
    <row r="20">
      <c r="A20" s="3" t="inlineStr">
        <is>
          <t>Tendencia Semanal por Producto (últimas 12 semanas)</t>
        </is>
      </c>
    </row>
    <row r="21">
      <c r="A21" s="4" t="inlineStr">
        <is>
          <t>Semana</t>
        </is>
      </c>
      <c r="B21" s="4" t="inlineStr">
        <is>
          <t>Loco Blanco</t>
        </is>
      </c>
      <c r="C21" s="4" t="inlineStr">
        <is>
          <t>Puro Corazón</t>
        </is>
      </c>
      <c r="D21" s="4" t="inlineStr">
        <is>
          <t>Loco Ámbar</t>
        </is>
      </c>
      <c r="E21" s="4" t="inlineStr">
        <is>
          <t>Loco 269</t>
        </is>
      </c>
      <c r="F21" s="4" t="inlineStr">
        <is>
          <t>Loco Áureo</t>
        </is>
      </c>
      <c r="G21" s="4" t="inlineStr">
        <is>
          <t>Loco 200</t>
        </is>
      </c>
      <c r="H21" s="4" t="inlineStr">
        <is>
          <t>Total</t>
        </is>
      </c>
    </row>
    <row r="22">
      <c r="A22" s="13" t="inlineStr">
        <is>
          <t>W19</t>
        </is>
      </c>
      <c r="B22" s="38" t="n">
        <v>1115621.41</v>
      </c>
      <c r="C22" s="38" t="n">
        <v>909273.28</v>
      </c>
      <c r="D22" s="38" t="n">
        <v>1183894.05</v>
      </c>
      <c r="E22" s="38" t="n">
        <v>630098.63</v>
      </c>
      <c r="F22" s="38" t="n">
        <v>723938.66</v>
      </c>
      <c r="G22" s="38" t="n">
        <v>152411.84</v>
      </c>
      <c r="H22" s="38" t="n">
        <v>5803923.370000001</v>
      </c>
    </row>
    <row r="23">
      <c r="A23" s="9" t="inlineStr">
        <is>
          <t>W20</t>
        </is>
      </c>
      <c r="B23" s="41" t="n">
        <v>1175537.15</v>
      </c>
      <c r="C23" s="41" t="n">
        <v>754717.5699999999</v>
      </c>
      <c r="D23" s="41" t="n">
        <v>1062519.54</v>
      </c>
      <c r="E23" s="41" t="n">
        <v>669225.14</v>
      </c>
      <c r="F23" s="41" t="n">
        <v>495350.85</v>
      </c>
      <c r="G23" s="41" t="n">
        <v>102032.36</v>
      </c>
      <c r="H23" s="41" t="n">
        <v>5228650.36</v>
      </c>
    </row>
    <row r="24">
      <c r="A24" s="13" t="inlineStr">
        <is>
          <t>W21</t>
        </is>
      </c>
      <c r="B24" s="38" t="n">
        <v>1179266.22</v>
      </c>
      <c r="C24" s="38" t="n">
        <v>883665.1799999999</v>
      </c>
      <c r="D24" s="38" t="n">
        <v>755717.9</v>
      </c>
      <c r="E24" s="38" t="n">
        <v>628994.3099999999</v>
      </c>
      <c r="F24" s="38" t="n">
        <v>610154.73</v>
      </c>
      <c r="G24" s="38" t="n">
        <v>111580.15</v>
      </c>
      <c r="H24" s="38" t="n">
        <v>5515048.22</v>
      </c>
    </row>
    <row r="25">
      <c r="A25" s="9" t="inlineStr">
        <is>
          <t>W22</t>
        </is>
      </c>
      <c r="B25" s="41" t="n">
        <v>934741.75</v>
      </c>
      <c r="C25" s="41" t="n">
        <v>875668.79</v>
      </c>
      <c r="D25" s="41" t="n">
        <v>1164288.77</v>
      </c>
      <c r="E25" s="41" t="n">
        <v>500073.42</v>
      </c>
      <c r="F25" s="41" t="n">
        <v>355383.81</v>
      </c>
      <c r="G25" s="41" t="n">
        <v>155399.85</v>
      </c>
      <c r="H25" s="41" t="n">
        <v>5334407.68</v>
      </c>
    </row>
    <row r="26">
      <c r="A26" s="13" t="inlineStr">
        <is>
          <t>W23</t>
        </is>
      </c>
      <c r="B26" s="38" t="n">
        <v>974043.2</v>
      </c>
      <c r="C26" s="38" t="n">
        <v>739273.27</v>
      </c>
      <c r="D26" s="38" t="n">
        <v>888830.15</v>
      </c>
      <c r="E26" s="38" t="n">
        <v>607555.42</v>
      </c>
      <c r="F26" s="38" t="n">
        <v>349633.6</v>
      </c>
      <c r="G26" s="38" t="n">
        <v>85608.56</v>
      </c>
      <c r="H26" s="38" t="n">
        <v>4634158.330000001</v>
      </c>
    </row>
    <row r="27">
      <c r="A27" s="9" t="inlineStr">
        <is>
          <t>W24</t>
        </is>
      </c>
      <c r="B27" s="41" t="n">
        <v>936074.79</v>
      </c>
      <c r="C27" s="41" t="n">
        <v>817750.83</v>
      </c>
      <c r="D27" s="41" t="n">
        <v>858809.78</v>
      </c>
      <c r="E27" s="41" t="n">
        <v>509602.99</v>
      </c>
      <c r="F27" s="41" t="n">
        <v>391940.29</v>
      </c>
      <c r="G27" s="41" t="n">
        <v>93148.56999999999</v>
      </c>
      <c r="H27" s="41" t="n">
        <v>4520732.32</v>
      </c>
    </row>
    <row r="28">
      <c r="A28" s="13" t="inlineStr">
        <is>
          <t>W25</t>
        </is>
      </c>
      <c r="B28" s="38" t="n">
        <v>1062207.75</v>
      </c>
      <c r="C28" s="38" t="n">
        <v>741300.9399999999</v>
      </c>
      <c r="D28" s="38" t="n">
        <v>546679.98</v>
      </c>
      <c r="E28" s="38" t="n">
        <v>348666.33</v>
      </c>
      <c r="F28" s="38" t="n">
        <v>486979.36</v>
      </c>
      <c r="G28" s="38" t="n">
        <v>189733.51</v>
      </c>
      <c r="H28" s="38" t="n">
        <v>4197220.4</v>
      </c>
    </row>
    <row r="29">
      <c r="A29" s="9" t="inlineStr">
        <is>
          <t>W26</t>
        </is>
      </c>
      <c r="B29" s="41" t="n">
        <v>1040010.4</v>
      </c>
      <c r="C29" s="41" t="n">
        <v>874966.89</v>
      </c>
      <c r="D29" s="41" t="n">
        <v>751635.98</v>
      </c>
      <c r="E29" s="41" t="n">
        <v>455588.08</v>
      </c>
      <c r="F29" s="41" t="n">
        <v>491511.57</v>
      </c>
      <c r="G29" s="41" t="n">
        <v>131756.08</v>
      </c>
      <c r="H29" s="41" t="n">
        <v>4882610.210000001</v>
      </c>
    </row>
    <row r="30">
      <c r="A30" s="13" t="inlineStr">
        <is>
          <t>W27</t>
        </is>
      </c>
      <c r="B30" s="38" t="n">
        <v>1258829.01</v>
      </c>
      <c r="C30" s="38" t="n">
        <v>821438.91</v>
      </c>
      <c r="D30" s="38" t="n">
        <v>1039639.38</v>
      </c>
      <c r="E30" s="38" t="n">
        <v>413614.21</v>
      </c>
      <c r="F30" s="38" t="n">
        <v>442253.52</v>
      </c>
      <c r="G30" s="38" t="n">
        <v>82664.29000000001</v>
      </c>
      <c r="H30" s="38" t="n">
        <v>5073951.98</v>
      </c>
    </row>
    <row r="31">
      <c r="A31" s="9" t="inlineStr">
        <is>
          <t>W28</t>
        </is>
      </c>
      <c r="B31" s="41" t="n">
        <v>1279549.02</v>
      </c>
      <c r="C31" s="41" t="n">
        <v>966740.85</v>
      </c>
      <c r="D31" s="41" t="n">
        <v>883762.51</v>
      </c>
      <c r="E31" s="41" t="n">
        <v>772696.2</v>
      </c>
      <c r="F31" s="41" t="n">
        <v>432084.18</v>
      </c>
      <c r="G31" s="41" t="n">
        <v>103264.5</v>
      </c>
      <c r="H31" s="41" t="n">
        <v>5743960.43</v>
      </c>
    </row>
    <row r="32">
      <c r="A32" s="13" t="inlineStr">
        <is>
          <t>W29</t>
        </is>
      </c>
      <c r="B32" s="38" t="n">
        <v>880140.22</v>
      </c>
      <c r="C32" s="38" t="n">
        <v>952897.35</v>
      </c>
      <c r="D32" s="38" t="n">
        <v>1051115.31</v>
      </c>
      <c r="E32" s="38" t="n">
        <v>688079.64</v>
      </c>
      <c r="F32" s="38" t="n">
        <v>489042.12</v>
      </c>
      <c r="G32" s="38" t="n">
        <v>142933.45</v>
      </c>
      <c r="H32" s="38" t="n">
        <v>5633073.9</v>
      </c>
    </row>
    <row r="33">
      <c r="A33" s="43" t="inlineStr">
        <is>
          <t>W30</t>
        </is>
      </c>
      <c r="B33" s="33" t="n">
        <v>903622.62</v>
      </c>
      <c r="C33" s="33" t="n">
        <v>906625.83</v>
      </c>
      <c r="D33" s="33" t="n">
        <v>938001.4399999999</v>
      </c>
      <c r="E33" s="33" t="n">
        <v>484160.16</v>
      </c>
      <c r="F33" s="33" t="n">
        <v>692154.28</v>
      </c>
      <c r="G33" s="33" t="n">
        <v>239915.96</v>
      </c>
      <c r="H33" s="33" t="n">
        <v>5221958.090000001</v>
      </c>
    </row>
    <row r="53">
      <c r="A53" s="3" t="inlineStr">
        <is>
          <t>Clasificación de Tendencia por Producto (1ª vs 2ª mitad de las últimas 12 semanas)</t>
        </is>
      </c>
    </row>
    <row r="54">
      <c r="A54" s="4" t="inlineStr">
        <is>
          <t>Producto</t>
        </is>
      </c>
      <c r="B54" s="4" t="inlineStr">
        <is>
          <t>Promedio 1ª Mitad $</t>
        </is>
      </c>
      <c r="C54" s="4" t="inlineStr">
        <is>
          <t>Promedio 2ª Mitad $</t>
        </is>
      </c>
      <c r="D54" s="4" t="inlineStr">
        <is>
          <t>Variación %</t>
        </is>
      </c>
      <c r="E54" s="4" t="inlineStr">
        <is>
          <t>Tendencia</t>
        </is>
      </c>
    </row>
    <row r="55">
      <c r="A55" s="9" t="inlineStr">
        <is>
          <t>Loco Blanco</t>
        </is>
      </c>
      <c r="B55" s="41" t="n">
        <v>1052547.42</v>
      </c>
      <c r="C55" s="41" t="n">
        <v>1070726.503333333</v>
      </c>
      <c r="D55" s="17" t="n">
        <v>0.01727151004116589</v>
      </c>
      <c r="E55" s="47" t="inlineStr">
        <is>
          <t>Estable</t>
        </is>
      </c>
    </row>
    <row r="56">
      <c r="A56" s="13" t="inlineStr">
        <is>
          <t>Puro Corazón</t>
        </is>
      </c>
      <c r="B56" s="38" t="n">
        <v>830058.1533333333</v>
      </c>
      <c r="C56" s="38" t="n">
        <v>877328.4616666666</v>
      </c>
      <c r="D56" s="40" t="n">
        <v>0.0569481886823302</v>
      </c>
      <c r="E56" s="48" t="inlineStr">
        <is>
          <t>Ascendente</t>
        </is>
      </c>
    </row>
    <row r="57">
      <c r="A57" s="9" t="inlineStr">
        <is>
          <t>Loco Ámbar</t>
        </is>
      </c>
      <c r="B57" s="41" t="n">
        <v>985676.6983333334</v>
      </c>
      <c r="C57" s="41" t="n">
        <v>868472.4333333332</v>
      </c>
      <c r="D57" s="17" t="n">
        <v>-0.1189074117285913</v>
      </c>
      <c r="E57" s="49" t="inlineStr">
        <is>
          <t>Descendente</t>
        </is>
      </c>
    </row>
    <row r="58">
      <c r="A58" s="13" t="inlineStr">
        <is>
          <t>Loco 269</t>
        </is>
      </c>
      <c r="B58" s="38" t="n">
        <v>590924.985</v>
      </c>
      <c r="C58" s="38" t="n">
        <v>527134.1033333334</v>
      </c>
      <c r="D58" s="40" t="n">
        <v>-0.1079508961136016</v>
      </c>
      <c r="E58" s="49" t="inlineStr">
        <is>
          <t>Descendente</t>
        </is>
      </c>
    </row>
    <row r="59">
      <c r="A59" s="9" t="inlineStr">
        <is>
          <t>Loco Áureo</t>
        </is>
      </c>
      <c r="B59" s="41" t="n">
        <v>487733.6566666667</v>
      </c>
      <c r="C59" s="41" t="n">
        <v>505670.8383333334</v>
      </c>
      <c r="D59" s="17" t="n">
        <v>0.03677659194006692</v>
      </c>
      <c r="E59" s="47" t="inlineStr">
        <is>
          <t>Estable</t>
        </is>
      </c>
    </row>
    <row r="60">
      <c r="A60" s="13" t="inlineStr">
        <is>
          <t>Loco 200</t>
        </is>
      </c>
      <c r="B60" s="38" t="n">
        <v>116696.8883333333</v>
      </c>
      <c r="C60" s="38" t="n">
        <v>148377.965</v>
      </c>
      <c r="D60" s="40" t="n">
        <v>0.2714817603034346</v>
      </c>
      <c r="E60" s="48" t="inlineStr">
        <is>
          <t>Ascendente</t>
        </is>
      </c>
    </row>
  </sheetData>
  <mergeCells count="4">
    <mergeCell ref="A20:M20"/>
    <mergeCell ref="A53:F53"/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Análisis por Cliente — Concentración de Cartera y Segmentación</t>
        </is>
      </c>
    </row>
    <row r="3">
      <c r="A3" s="3" t="inlineStr">
        <is>
          <t>Concentración de Cartera</t>
        </is>
      </c>
    </row>
    <row r="4">
      <c r="A4" s="4" t="inlineStr">
        <is>
          <t>Métrica de Concentración</t>
        </is>
      </c>
      <c r="B4" s="4" t="inlineStr">
        <is>
          <t>Valor</t>
        </is>
      </c>
      <c r="C4" s="4" t="inlineStr">
        <is>
          <t>Señal</t>
        </is>
      </c>
    </row>
    <row r="5">
      <c r="A5" s="22" t="inlineStr">
        <is>
          <t>% Ventas — Top 5% clientes (1 clientes)</t>
        </is>
      </c>
      <c r="B5" s="50" t="n">
        <v>0.2782483197045369</v>
      </c>
      <c r="C5" s="51" t="inlineStr">
        <is>
          <t>OK</t>
        </is>
      </c>
    </row>
    <row r="6">
      <c r="A6" s="22" t="inlineStr">
        <is>
          <t>% Ventas — Top 10% clientes (1 clientes)</t>
        </is>
      </c>
      <c r="B6" s="50" t="n">
        <v>0.2782483197045369</v>
      </c>
      <c r="C6" s="51" t="inlineStr">
        <is>
          <t>OK</t>
        </is>
      </c>
    </row>
    <row r="7">
      <c r="A7" s="22" t="inlineStr">
        <is>
          <t># Clientes activos en el período</t>
        </is>
      </c>
      <c r="B7" s="52" t="n">
        <v>6</v>
      </c>
      <c r="C7" s="51" t="inlineStr">
        <is>
          <t>OK</t>
        </is>
      </c>
    </row>
    <row r="8">
      <c r="A8" s="36" t="inlineStr">
        <is>
          <t>Nota: Concentración &gt; 40% en top 10% de clientes representa riesgo de cartera. Diversificar.</t>
        </is>
      </c>
    </row>
    <row r="10">
      <c r="A10" s="3" t="inlineStr">
        <is>
          <t>Ranking Top 6 Clientes — Ventas YTD (con Curva Pareto)</t>
        </is>
      </c>
    </row>
    <row r="11">
      <c r="A11" s="4" t="inlineStr">
        <is>
          <t>#</t>
        </is>
      </c>
      <c r="B11" s="4" t="inlineStr">
        <is>
          <t>Cliente</t>
        </is>
      </c>
      <c r="C11" s="4" t="inlineStr">
        <is>
          <t>Loco Blanco</t>
        </is>
      </c>
      <c r="D11" s="4" t="inlineStr">
        <is>
          <t>Puro Corazón</t>
        </is>
      </c>
      <c r="E11" s="4" t="inlineStr">
        <is>
          <t>Loco Ámbar</t>
        </is>
      </c>
      <c r="F11" s="4" t="inlineStr">
        <is>
          <t>Loco 269</t>
        </is>
      </c>
      <c r="G11" s="4" t="inlineStr">
        <is>
          <t>Loco Áureo</t>
        </is>
      </c>
      <c r="H11" s="4" t="inlineStr">
        <is>
          <t>Loco 200</t>
        </is>
      </c>
      <c r="I11" s="4" t="inlineStr">
        <is>
          <t>Total $</t>
        </is>
      </c>
      <c r="J11" s="4" t="inlineStr">
        <is>
          <t>Part %</t>
        </is>
      </c>
      <c r="K11" s="4" t="inlineStr">
        <is>
          <t>% Acumulado</t>
        </is>
      </c>
    </row>
    <row r="12">
      <c r="A12" s="13" t="n">
        <v>1</v>
      </c>
      <c r="B12" s="29" t="inlineStr">
        <is>
          <t>Público en General</t>
        </is>
      </c>
      <c r="C12" s="38" t="n">
        <v>3743792.89</v>
      </c>
      <c r="D12" s="38" t="n">
        <v>3137758.47</v>
      </c>
      <c r="E12" s="38" t="n">
        <v>3157190.62</v>
      </c>
      <c r="F12" s="38" t="n">
        <v>2313846.18</v>
      </c>
      <c r="G12" s="38" t="n">
        <v>1598755.44</v>
      </c>
      <c r="H12" s="38" t="n">
        <v>308485.36</v>
      </c>
      <c r="I12" s="38" t="n">
        <v>14259828.96</v>
      </c>
      <c r="J12" s="40" t="n">
        <v>0.2782483197045369</v>
      </c>
      <c r="K12" s="40" t="n">
        <v>0.2782483197045369</v>
      </c>
    </row>
    <row r="13">
      <c r="A13" s="9" t="n">
        <v>2</v>
      </c>
      <c r="B13" s="27" t="inlineStr">
        <is>
          <t>El Palacio de Hierro</t>
        </is>
      </c>
      <c r="C13" s="41" t="n">
        <v>2804988.91</v>
      </c>
      <c r="D13" s="41" t="n">
        <v>2106859.09</v>
      </c>
      <c r="E13" s="41" t="n">
        <v>2196840.21</v>
      </c>
      <c r="F13" s="41" t="n">
        <v>1298469.09</v>
      </c>
      <c r="G13" s="41" t="n">
        <v>1227788.47</v>
      </c>
      <c r="H13" s="41" t="n">
        <v>198801.28</v>
      </c>
      <c r="I13" s="41" t="n">
        <v>9833747.050000001</v>
      </c>
      <c r="J13" s="17" t="n">
        <v>0.1918833389052057</v>
      </c>
      <c r="K13" s="17" t="n">
        <v>0.4701316586097426</v>
      </c>
    </row>
    <row r="14">
      <c r="A14" s="13" t="n">
        <v>3</v>
      </c>
      <c r="B14" s="29" t="inlineStr">
        <is>
          <t>Liverpool</t>
        </is>
      </c>
      <c r="C14" s="38" t="n">
        <v>1949421.28</v>
      </c>
      <c r="D14" s="38" t="n">
        <v>1574066.57</v>
      </c>
      <c r="E14" s="38" t="n">
        <v>1740992.43</v>
      </c>
      <c r="F14" s="38" t="n">
        <v>1277389.55</v>
      </c>
      <c r="G14" s="38" t="n">
        <v>1014066.51</v>
      </c>
      <c r="H14" s="38" t="n">
        <v>165353.78</v>
      </c>
      <c r="I14" s="38" t="n">
        <v>7721290.12</v>
      </c>
      <c r="J14" s="40" t="n">
        <v>0.1506635183260461</v>
      </c>
      <c r="K14" s="40" t="n">
        <v>0.6207951769357887</v>
      </c>
    </row>
    <row r="15">
      <c r="A15" s="9" t="n">
        <v>4</v>
      </c>
      <c r="B15" s="27" t="inlineStr">
        <is>
          <t>La Europea Santo Domingo</t>
        </is>
      </c>
      <c r="C15" s="41" t="n">
        <v>1882104.48</v>
      </c>
      <c r="D15" s="41" t="n">
        <v>1354317.44</v>
      </c>
      <c r="E15" s="41" t="n">
        <v>1871376.68</v>
      </c>
      <c r="F15" s="41" t="n">
        <v>830549.4399999999</v>
      </c>
      <c r="G15" s="41" t="n">
        <v>1246625.16</v>
      </c>
      <c r="H15" s="41" t="n">
        <v>195639.07</v>
      </c>
      <c r="I15" s="41" t="n">
        <v>7380612.27</v>
      </c>
      <c r="J15" s="17" t="n">
        <v>0.1440159603792462</v>
      </c>
      <c r="K15" s="17" t="n">
        <v>0.7648111373150348</v>
      </c>
    </row>
    <row r="16">
      <c r="A16" s="13" t="n">
        <v>5</v>
      </c>
      <c r="B16" s="29" t="inlineStr">
        <is>
          <t>Vinoteca</t>
        </is>
      </c>
      <c r="C16" s="38" t="n">
        <v>1740165.25</v>
      </c>
      <c r="D16" s="38" t="n">
        <v>1419440.1</v>
      </c>
      <c r="E16" s="38" t="n">
        <v>1433162.04</v>
      </c>
      <c r="F16" s="38" t="n">
        <v>805990.17</v>
      </c>
      <c r="G16" s="38" t="n">
        <v>577226.6800000001</v>
      </c>
      <c r="H16" s="38" t="n">
        <v>210056.07</v>
      </c>
      <c r="I16" s="38" t="n">
        <v>6186040.310000001</v>
      </c>
      <c r="J16" s="40" t="n">
        <v>0.1207065895888581</v>
      </c>
      <c r="K16" s="40" t="n">
        <v>0.885517726903893</v>
      </c>
    </row>
    <row r="17">
      <c r="A17" s="9" t="n">
        <v>6</v>
      </c>
      <c r="B17" s="27" t="inlineStr">
        <is>
          <t>Banco Azteca</t>
        </is>
      </c>
      <c r="C17" s="41" t="n">
        <v>1613989.9</v>
      </c>
      <c r="D17" s="41" t="n">
        <v>1214477.63</v>
      </c>
      <c r="E17" s="41" t="n">
        <v>1234987.13</v>
      </c>
      <c r="F17" s="41" t="n">
        <v>839971.16</v>
      </c>
      <c r="G17" s="41" t="n">
        <v>807132.54</v>
      </c>
      <c r="H17" s="41" t="n">
        <v>156494.62</v>
      </c>
      <c r="I17" s="41" t="n">
        <v>5867052.98</v>
      </c>
      <c r="J17" s="17" t="n">
        <v>0.114482273096107</v>
      </c>
      <c r="K17" s="17" t="n">
        <v>1</v>
      </c>
    </row>
    <row r="18">
      <c r="A18" s="5" t="inlineStr">
        <is>
          <t>—</t>
        </is>
      </c>
      <c r="B18" s="46" t="inlineStr">
        <is>
          <t>Total</t>
        </is>
      </c>
      <c r="C18" s="6" t="n">
        <v>13734462.71</v>
      </c>
      <c r="D18" s="6" t="n">
        <v>10806919.3</v>
      </c>
      <c r="E18" s="6" t="n">
        <v>11634549.11</v>
      </c>
      <c r="F18" s="6" t="n">
        <v>7366215.59</v>
      </c>
      <c r="G18" s="6" t="n">
        <v>6471594.8</v>
      </c>
      <c r="H18" s="6" t="n">
        <v>1234830.18</v>
      </c>
      <c r="I18" s="6" t="n">
        <v>51248571.69</v>
      </c>
      <c r="J18" s="46" t="n">
        <v>1</v>
      </c>
      <c r="K18" s="46" t="n">
        <v>1</v>
      </c>
    </row>
    <row r="21">
      <c r="A21" s="53" t="inlineStr">
        <is>
          <t>Clientes en Riesgo (caída ≥ 20% vs mismo período año anterior) — 1 clientes</t>
        </is>
      </c>
    </row>
    <row r="22">
      <c r="A22" s="4" t="inlineStr">
        <is>
          <t>Cliente</t>
        </is>
      </c>
      <c r="B22" s="4" t="inlineStr">
        <is>
          <t>Venta Actual $</t>
        </is>
      </c>
      <c r="C22" s="4" t="inlineStr">
        <is>
          <t>Venta Anterior $</t>
        </is>
      </c>
      <c r="D22" s="4" t="inlineStr">
        <is>
          <t>Var $</t>
        </is>
      </c>
      <c r="E22" s="4" t="inlineStr">
        <is>
          <t>Var %</t>
        </is>
      </c>
    </row>
    <row r="23">
      <c r="A23" s="9" t="inlineStr">
        <is>
          <t>Diego Alberto Aragon Herrera</t>
        </is>
      </c>
      <c r="B23" s="41" t="n">
        <v>116626.5</v>
      </c>
      <c r="C23" s="41" t="n">
        <v>147146.81</v>
      </c>
      <c r="D23" s="42" t="n">
        <v>-30520.31</v>
      </c>
      <c r="E23" s="54" t="n">
        <v>-0.2074140105381829</v>
      </c>
    </row>
    <row r="25">
      <c r="A25" s="55" t="inlineStr">
        <is>
          <t>Clientes en Crecimiento (incremento ≥ 15% vs mismo período año anterior) — 15 clientes</t>
        </is>
      </c>
    </row>
    <row r="26">
      <c r="A26" s="4" t="inlineStr">
        <is>
          <t>Cliente</t>
        </is>
      </c>
      <c r="B26" s="4" t="inlineStr">
        <is>
          <t>Venta Actual $</t>
        </is>
      </c>
      <c r="C26" s="4" t="inlineStr">
        <is>
          <t>Venta Anterior $</t>
        </is>
      </c>
      <c r="D26" s="4" t="inlineStr">
        <is>
          <t>Var $</t>
        </is>
      </c>
      <c r="E26" s="4" t="inlineStr">
        <is>
          <t>Var %</t>
        </is>
      </c>
    </row>
    <row r="27">
      <c r="A27" s="9" t="inlineStr">
        <is>
          <t>Julio Ysusi</t>
        </is>
      </c>
      <c r="B27" s="41" t="n">
        <v>171062.73</v>
      </c>
      <c r="C27" s="41" t="n">
        <v>84855.59</v>
      </c>
      <c r="D27" s="41" t="n">
        <v>86207.14000000001</v>
      </c>
      <c r="E27" s="56" t="n">
        <v>1.01592764837296</v>
      </c>
    </row>
    <row r="28">
      <c r="A28" s="13" t="inlineStr">
        <is>
          <t>Rodolfo Sánchez</t>
        </is>
      </c>
      <c r="B28" s="38" t="n">
        <v>159817.33</v>
      </c>
      <c r="C28" s="38" t="n">
        <v>109113.17</v>
      </c>
      <c r="D28" s="38" t="n">
        <v>50704.15999999999</v>
      </c>
      <c r="E28" s="57" t="n">
        <v>0.4646933087912302</v>
      </c>
    </row>
    <row r="29">
      <c r="A29" s="9" t="inlineStr">
        <is>
          <t>Grupo Hunan</t>
        </is>
      </c>
      <c r="B29" s="41" t="n">
        <v>2266974.84</v>
      </c>
      <c r="C29" s="41" t="n">
        <v>1598107.23</v>
      </c>
      <c r="D29" s="41" t="n">
        <v>668867.6099999999</v>
      </c>
      <c r="E29" s="56" t="n">
        <v>0.4185373781207409</v>
      </c>
    </row>
    <row r="30">
      <c r="A30" s="13" t="inlineStr">
        <is>
          <t>Hugo Salinas</t>
        </is>
      </c>
      <c r="B30" s="38" t="n">
        <v>150742.24</v>
      </c>
      <c r="C30" s="38" t="n">
        <v>106298.25</v>
      </c>
      <c r="D30" s="38" t="n">
        <v>44443.98999999999</v>
      </c>
      <c r="E30" s="57" t="n">
        <v>0.4181065069274423</v>
      </c>
    </row>
    <row r="31">
      <c r="A31" s="9" t="inlineStr">
        <is>
          <t>Testal Centro</t>
        </is>
      </c>
      <c r="B31" s="41" t="n">
        <v>1757430.32</v>
      </c>
      <c r="C31" s="41" t="n">
        <v>1249152.83</v>
      </c>
      <c r="D31" s="41" t="n">
        <v>508277.49</v>
      </c>
      <c r="E31" s="56" t="n">
        <v>0.406897761261126</v>
      </c>
    </row>
    <row r="32">
      <c r="A32" s="13" t="inlineStr">
        <is>
          <t>Villa Maria</t>
        </is>
      </c>
      <c r="B32" s="38" t="n">
        <v>1661916.64</v>
      </c>
      <c r="C32" s="38" t="n">
        <v>1207879.55</v>
      </c>
      <c r="D32" s="38" t="n">
        <v>454037.0900000001</v>
      </c>
      <c r="E32" s="57" t="n">
        <v>0.3758959989015462</v>
      </c>
    </row>
    <row r="33">
      <c r="A33" s="9" t="inlineStr">
        <is>
          <t>La Dueña</t>
        </is>
      </c>
      <c r="B33" s="41" t="n">
        <v>1441520.28</v>
      </c>
      <c r="C33" s="41" t="n">
        <v>1053943.55</v>
      </c>
      <c r="D33" s="41" t="n">
        <v>387576.73</v>
      </c>
      <c r="E33" s="56" t="n">
        <v>0.3677395530339362</v>
      </c>
    </row>
    <row r="34">
      <c r="A34" s="13" t="inlineStr">
        <is>
          <t>Casa Virginia</t>
        </is>
      </c>
      <c r="B34" s="38" t="n">
        <v>1616965.63</v>
      </c>
      <c r="C34" s="38" t="n">
        <v>1182455.73</v>
      </c>
      <c r="D34" s="38" t="n">
        <v>434509.9000000001</v>
      </c>
      <c r="E34" s="57" t="n">
        <v>0.367463989539803</v>
      </c>
    </row>
    <row r="35">
      <c r="A35" s="9" t="inlineStr">
        <is>
          <t>Maria Mercedes Parra Osorio</t>
        </is>
      </c>
      <c r="B35" s="41" t="n">
        <v>212650.42</v>
      </c>
      <c r="C35" s="41" t="n">
        <v>161987.89</v>
      </c>
      <c r="D35" s="41" t="n">
        <v>50662.52999999997</v>
      </c>
      <c r="E35" s="56" t="n">
        <v>0.3127550460716537</v>
      </c>
    </row>
    <row r="36">
      <c r="A36" s="13" t="inlineStr">
        <is>
          <t>Fabrica de Maravillas</t>
        </is>
      </c>
      <c r="B36" s="38" t="n">
        <v>2968595.95</v>
      </c>
      <c r="C36" s="38" t="n">
        <v>2354252.46</v>
      </c>
      <c r="D36" s="38" t="n">
        <v>614343.4900000002</v>
      </c>
      <c r="E36" s="57" t="n">
        <v>0.2609505566790404</v>
      </c>
    </row>
    <row r="37">
      <c r="A37" s="9" t="inlineStr">
        <is>
          <t>La Castellana Monterrey</t>
        </is>
      </c>
      <c r="B37" s="41" t="n">
        <v>5906823.54</v>
      </c>
      <c r="C37" s="41" t="n">
        <v>4821339.72</v>
      </c>
      <c r="D37" s="41" t="n">
        <v>1085483.82</v>
      </c>
      <c r="E37" s="56" t="n">
        <v>0.2251415338971385</v>
      </c>
    </row>
    <row r="38">
      <c r="A38" s="13" t="inlineStr">
        <is>
          <t>El Palacio de Hierro</t>
        </is>
      </c>
      <c r="B38" s="38" t="n">
        <v>12910221.03</v>
      </c>
      <c r="C38" s="38" t="n">
        <v>10560406.93</v>
      </c>
      <c r="D38" s="38" t="n">
        <v>2349814.1</v>
      </c>
      <c r="E38" s="57" t="n">
        <v>0.2225117001244193</v>
      </c>
    </row>
    <row r="39">
      <c r="A39" s="9" t="inlineStr">
        <is>
          <t>Público en General</t>
        </is>
      </c>
      <c r="B39" s="41" t="n">
        <v>18477328.52</v>
      </c>
      <c r="C39" s="41" t="n">
        <v>15174413.52</v>
      </c>
      <c r="D39" s="41" t="n">
        <v>3302915</v>
      </c>
      <c r="E39" s="56" t="n">
        <v>0.2176634369194388</v>
      </c>
    </row>
    <row r="40">
      <c r="A40" s="13" t="inlineStr">
        <is>
          <t>La Cava</t>
        </is>
      </c>
      <c r="B40" s="38" t="n">
        <v>3610550.23</v>
      </c>
      <c r="C40" s="38" t="n">
        <v>2977884.18</v>
      </c>
      <c r="D40" s="38" t="n">
        <v>632666.0499999998</v>
      </c>
      <c r="E40" s="57" t="n">
        <v>0.2124548880205273</v>
      </c>
    </row>
    <row r="41">
      <c r="A41" s="9" t="inlineStr">
        <is>
          <t>Liverpool</t>
        </is>
      </c>
      <c r="B41" s="41" t="n">
        <v>10358478.05</v>
      </c>
      <c r="C41" s="41" t="n">
        <v>8750201.630000001</v>
      </c>
      <c r="D41" s="41" t="n">
        <v>1608276.42</v>
      </c>
      <c r="E41" s="56" t="n">
        <v>0.1837987840744191</v>
      </c>
    </row>
  </sheetData>
  <mergeCells count="6">
    <mergeCell ref="A1:I1"/>
    <mergeCell ref="A8:E8"/>
    <mergeCell ref="A21:F21"/>
    <mergeCell ref="A10:J10"/>
    <mergeCell ref="A25:F25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8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Análisis Regional — Ventas por Estado (YTD vs Año Anterior)</t>
        </is>
      </c>
    </row>
    <row r="3">
      <c r="A3" s="3" t="inlineStr">
        <is>
          <t>Ventas por Estado — YTD 2026 vs 2025 (hasta S30)</t>
        </is>
      </c>
    </row>
    <row r="4">
      <c r="A4" s="4" t="inlineStr">
        <is>
          <t>#</t>
        </is>
      </c>
      <c r="B4" s="4" t="inlineStr">
        <is>
          <t>Estado / Región</t>
        </is>
      </c>
      <c r="C4" s="4" t="inlineStr">
        <is>
          <t>Venta 2026 $</t>
        </is>
      </c>
      <c r="D4" s="4" t="inlineStr">
        <is>
          <t>Venta 2025 $</t>
        </is>
      </c>
      <c r="E4" s="4" t="inlineStr">
        <is>
          <t>Part% 2026</t>
        </is>
      </c>
      <c r="F4" s="4" t="inlineStr">
        <is>
          <t>Part% 2025</t>
        </is>
      </c>
      <c r="G4" s="4" t="inlineStr">
        <is>
          <t>Var pp</t>
        </is>
      </c>
    </row>
    <row r="5">
      <c r="A5" s="9" t="n">
        <v>1</v>
      </c>
      <c r="B5" s="27" t="inlineStr">
        <is>
          <t>CDMX</t>
        </is>
      </c>
      <c r="C5" s="41" t="n">
        <v>63600121.7</v>
      </c>
      <c r="D5" s="41" t="n">
        <v>56859552.56</v>
      </c>
      <c r="E5" s="17" t="n">
        <v>0.4493995548248191</v>
      </c>
      <c r="F5" s="17" t="n">
        <v>0.4562518879375857</v>
      </c>
      <c r="G5" s="58" t="n">
        <v>-0.006852333112766615</v>
      </c>
    </row>
    <row r="6">
      <c r="A6" s="13" t="n">
        <v>2</v>
      </c>
      <c r="B6" s="29" t="inlineStr">
        <is>
          <t>Nuevo León</t>
        </is>
      </c>
      <c r="C6" s="38" t="n">
        <v>18213703.18</v>
      </c>
      <c r="D6" s="38" t="n">
        <v>15202874.2</v>
      </c>
      <c r="E6" s="40" t="n">
        <v>0.1286983402235123</v>
      </c>
      <c r="F6" s="40" t="n">
        <v>0.1219907604532794</v>
      </c>
      <c r="G6" s="59" t="n">
        <v>0.006707579770232908</v>
      </c>
    </row>
    <row r="7">
      <c r="A7" s="9" t="n">
        <v>3</v>
      </c>
      <c r="B7" s="27" t="inlineStr">
        <is>
          <t>Estado de México</t>
        </is>
      </c>
      <c r="C7" s="41" t="n">
        <v>10192709.68</v>
      </c>
      <c r="D7" s="41" t="n">
        <v>8548988.09</v>
      </c>
      <c r="E7" s="17" t="n">
        <v>0.07202186206902531</v>
      </c>
      <c r="F7" s="17" t="n">
        <v>0.06859870998637409</v>
      </c>
      <c r="G7" s="60" t="n">
        <v>0.003423152082651218</v>
      </c>
    </row>
    <row r="8">
      <c r="A8" s="13" t="n">
        <v>4</v>
      </c>
      <c r="B8" s="29" t="inlineStr">
        <is>
          <t>Jalisco</t>
        </is>
      </c>
      <c r="C8" s="38" t="n">
        <v>8710331.859999999</v>
      </c>
      <c r="D8" s="38" t="n">
        <v>6914244.89</v>
      </c>
      <c r="E8" s="40" t="n">
        <v>0.061547354873386</v>
      </c>
      <c r="F8" s="40" t="n">
        <v>0.05548121894551371</v>
      </c>
      <c r="G8" s="59" t="n">
        <v>0.006066135927872294</v>
      </c>
    </row>
    <row r="9">
      <c r="A9" s="9" t="n">
        <v>5</v>
      </c>
      <c r="B9" s="27" t="inlineStr">
        <is>
          <t>Baja California Sur</t>
        </is>
      </c>
      <c r="C9" s="41" t="n">
        <v>7963209.56</v>
      </c>
      <c r="D9" s="41" t="n">
        <v>7889241.42</v>
      </c>
      <c r="E9" s="17" t="n">
        <v>0.05626817583968149</v>
      </c>
      <c r="F9" s="17" t="n">
        <v>0.06330477694969747</v>
      </c>
      <c r="G9" s="58" t="n">
        <v>-0.007036601110015975</v>
      </c>
    </row>
    <row r="10">
      <c r="A10" s="13" t="n">
        <v>6</v>
      </c>
      <c r="B10" s="29" t="inlineStr">
        <is>
          <t>Querétaro</t>
        </is>
      </c>
      <c r="C10" s="38" t="n">
        <v>7265003.36</v>
      </c>
      <c r="D10" s="38" t="n">
        <v>6646276.86</v>
      </c>
      <c r="E10" s="40" t="n">
        <v>0.05133463881068036</v>
      </c>
      <c r="F10" s="40" t="n">
        <v>0.05333099239447989</v>
      </c>
      <c r="G10" s="61" t="n">
        <v>-0.001996353583799522</v>
      </c>
    </row>
    <row r="11">
      <c r="A11" s="9" t="n">
        <v>7</v>
      </c>
      <c r="B11" s="27" t="inlineStr">
        <is>
          <t>Puebla</t>
        </is>
      </c>
      <c r="C11" s="41" t="n">
        <v>6580936.13</v>
      </c>
      <c r="D11" s="41" t="n">
        <v>6472948.92</v>
      </c>
      <c r="E11" s="17" t="n">
        <v>0.04650100798710527</v>
      </c>
      <c r="F11" s="17" t="n">
        <v>0.05194017596528121</v>
      </c>
      <c r="G11" s="58" t="n">
        <v>-0.005439167978175945</v>
      </c>
    </row>
    <row r="12">
      <c r="A12" s="13" t="n">
        <v>8</v>
      </c>
      <c r="B12" s="29" t="inlineStr">
        <is>
          <t>Guanajuato</t>
        </is>
      </c>
      <c r="C12" s="38" t="n">
        <v>4091834.97</v>
      </c>
      <c r="D12" s="38" t="n">
        <v>3172884.49</v>
      </c>
      <c r="E12" s="40" t="n">
        <v>0.02891297634002211</v>
      </c>
      <c r="F12" s="40" t="n">
        <v>0.0254598299422563</v>
      </c>
      <c r="G12" s="59" t="n">
        <v>0.003453146397765807</v>
      </c>
    </row>
    <row r="13">
      <c r="A13" s="9" t="n">
        <v>9</v>
      </c>
      <c r="B13" s="27" t="inlineStr">
        <is>
          <t>Quintana Roo</t>
        </is>
      </c>
      <c r="C13" s="41" t="n">
        <v>3652041.94</v>
      </c>
      <c r="D13" s="41" t="n">
        <v>3396948.13</v>
      </c>
      <c r="E13" s="17" t="n">
        <v>0.02580539121889084</v>
      </c>
      <c r="F13" s="17" t="n">
        <v>0.02725775929916236</v>
      </c>
      <c r="G13" s="58" t="n">
        <v>-0.001452368080271529</v>
      </c>
    </row>
    <row r="14">
      <c r="A14" s="13" t="n">
        <v>10</v>
      </c>
      <c r="B14" s="29" t="inlineStr">
        <is>
          <t>San Luis Potosí</t>
        </is>
      </c>
      <c r="C14" s="38" t="n">
        <v>3228893.2</v>
      </c>
      <c r="D14" s="38" t="n">
        <v>2949005.74</v>
      </c>
      <c r="E14" s="40" t="n">
        <v>0.02281541493743534</v>
      </c>
      <c r="F14" s="40" t="n">
        <v>0.02366338417795276</v>
      </c>
      <c r="G14" s="61" t="n">
        <v>-0.0008479692405174166</v>
      </c>
    </row>
    <row r="15">
      <c r="A15" s="9" t="n">
        <v>11</v>
      </c>
      <c r="B15" s="27" t="inlineStr">
        <is>
          <t>Morelos</t>
        </is>
      </c>
      <c r="C15" s="41" t="n">
        <v>975509.9400000001</v>
      </c>
      <c r="D15" s="41" t="n">
        <v>782529.3</v>
      </c>
      <c r="E15" s="17" t="n">
        <v>0.006892970029697065</v>
      </c>
      <c r="F15" s="17" t="n">
        <v>0.006279164263818776</v>
      </c>
      <c r="G15" s="60" t="n">
        <v>0.0006138057658782892</v>
      </c>
    </row>
    <row r="16">
      <c r="A16" s="13" t="n">
        <v>12</v>
      </c>
      <c r="B16" s="29" t="inlineStr">
        <is>
          <t>Nayarit</t>
        </is>
      </c>
      <c r="C16" s="38" t="n">
        <v>693663.1799999999</v>
      </c>
      <c r="D16" s="38" t="n">
        <v>231499.8</v>
      </c>
      <c r="E16" s="40" t="n">
        <v>0.004901435971471864</v>
      </c>
      <c r="F16" s="40" t="n">
        <v>0.001857598522178267</v>
      </c>
      <c r="G16" s="59" t="n">
        <v>0.003043837449293596</v>
      </c>
    </row>
    <row r="17">
      <c r="A17" s="9" t="n">
        <v>13</v>
      </c>
      <c r="B17" s="27" t="inlineStr">
        <is>
          <t>Coahuila</t>
        </is>
      </c>
      <c r="C17" s="41" t="n">
        <v>524810.9300000001</v>
      </c>
      <c r="D17" s="41" t="n">
        <v>210345.99</v>
      </c>
      <c r="E17" s="17" t="n">
        <v>0.003708323066136511</v>
      </c>
      <c r="F17" s="17" t="n">
        <v>0.001687856318537314</v>
      </c>
      <c r="G17" s="60" t="n">
        <v>0.002020466747599197</v>
      </c>
    </row>
    <row r="18">
      <c r="A18" s="13" t="n">
        <v>14</v>
      </c>
      <c r="B18" s="29" t="inlineStr">
        <is>
          <t>Guerrero</t>
        </is>
      </c>
      <c r="C18" s="38" t="n">
        <v>497479.61</v>
      </c>
      <c r="D18" s="38" t="n">
        <v>210023.93</v>
      </c>
      <c r="E18" s="40" t="n">
        <v>0.003515199488500736</v>
      </c>
      <c r="F18" s="40" t="n">
        <v>0.001685272047708343</v>
      </c>
      <c r="G18" s="59" t="n">
        <v>0.001829927440792394</v>
      </c>
    </row>
    <row r="19">
      <c r="A19" s="9" t="n">
        <v>15</v>
      </c>
      <c r="B19" s="27" t="inlineStr">
        <is>
          <t>Campeche</t>
        </is>
      </c>
      <c r="C19" s="41" t="n">
        <v>490829.58</v>
      </c>
      <c r="D19" s="41" t="n">
        <v>273669.99</v>
      </c>
      <c r="E19" s="17" t="n">
        <v>0.003468210262038742</v>
      </c>
      <c r="F19" s="17" t="n">
        <v>0.002195980164944164</v>
      </c>
      <c r="G19" s="60" t="n">
        <v>0.001272230097094578</v>
      </c>
    </row>
    <row r="20">
      <c r="A20" s="13" t="n">
        <v>16</v>
      </c>
      <c r="B20" s="29" t="inlineStr">
        <is>
          <t>Tamaulipas</t>
        </is>
      </c>
      <c r="C20" s="38" t="n">
        <v>433272.64</v>
      </c>
      <c r="D20" s="38" t="n">
        <v>292979.96</v>
      </c>
      <c r="E20" s="40" t="n">
        <v>0.003061511933141066</v>
      </c>
      <c r="F20" s="40" t="n">
        <v>0.002350927044964393</v>
      </c>
      <c r="G20" s="59" t="n">
        <v>0.0007105848881766735</v>
      </c>
    </row>
    <row r="21">
      <c r="A21" s="9" t="n">
        <v>17</v>
      </c>
      <c r="B21" s="27" t="inlineStr">
        <is>
          <t>Michoacán</t>
        </is>
      </c>
      <c r="C21" s="41" t="n">
        <v>401544.23</v>
      </c>
      <c r="D21" s="41" t="n">
        <v>314269.06</v>
      </c>
      <c r="E21" s="17" t="n">
        <v>0.002837318441868244</v>
      </c>
      <c r="F21" s="17" t="n">
        <v>0.00252175484135344</v>
      </c>
      <c r="G21" s="60" t="n">
        <v>0.0003155636005148044</v>
      </c>
    </row>
    <row r="22">
      <c r="A22" s="13" t="n">
        <v>18</v>
      </c>
      <c r="B22" s="29" t="inlineStr">
        <is>
          <t>Tlaxcala</t>
        </is>
      </c>
      <c r="C22" s="38" t="n">
        <v>362989.3</v>
      </c>
      <c r="D22" s="38" t="n">
        <v>325133.12</v>
      </c>
      <c r="E22" s="40" t="n">
        <v>0.002564888642755108</v>
      </c>
      <c r="F22" s="40" t="n">
        <v>0.002608930129629525</v>
      </c>
      <c r="G22" s="61" t="n">
        <v>-4.404148687441767e-05</v>
      </c>
    </row>
    <row r="23">
      <c r="A23" s="9" t="n">
        <v>19</v>
      </c>
      <c r="B23" s="27" t="inlineStr">
        <is>
          <t>Aguascalientes</t>
        </is>
      </c>
      <c r="C23" s="41" t="n">
        <v>361485.31</v>
      </c>
      <c r="D23" s="41" t="n">
        <v>219822.03</v>
      </c>
      <c r="E23" s="17" t="n">
        <v>0.002554261423523529</v>
      </c>
      <c r="F23" s="17" t="n">
        <v>0.001763893869758102</v>
      </c>
      <c r="G23" s="60" t="n">
        <v>0.000790367553765427</v>
      </c>
    </row>
    <row r="24">
      <c r="A24" s="13" t="n">
        <v>20</v>
      </c>
      <c r="B24" s="29" t="inlineStr">
        <is>
          <t>Baja California</t>
        </is>
      </c>
      <c r="C24" s="38" t="n">
        <v>347752.46</v>
      </c>
      <c r="D24" s="38" t="n">
        <v>273864.93</v>
      </c>
      <c r="E24" s="40" t="n">
        <v>0.002457224869008949</v>
      </c>
      <c r="F24" s="40" t="n">
        <v>0.002197544400662353</v>
      </c>
      <c r="G24" s="59" t="n">
        <v>0.0002596804683465959</v>
      </c>
    </row>
    <row r="25">
      <c r="A25" s="9" t="n">
        <v>21</v>
      </c>
      <c r="B25" s="27" t="inlineStr">
        <is>
          <t>Oaxaca</t>
        </is>
      </c>
      <c r="C25" s="41" t="n">
        <v>316658.15</v>
      </c>
      <c r="D25" s="41" t="n">
        <v>306459.6</v>
      </c>
      <c r="E25" s="17" t="n">
        <v>0.002237511939252324</v>
      </c>
      <c r="F25" s="17" t="n">
        <v>0.002459090245725235</v>
      </c>
      <c r="G25" s="58" t="n">
        <v>-0.0002215783064729113</v>
      </c>
    </row>
    <row r="26">
      <c r="A26" s="13" t="n">
        <v>22</v>
      </c>
      <c r="B26" s="29" t="inlineStr">
        <is>
          <t>Durango</t>
        </is>
      </c>
      <c r="C26" s="38" t="n">
        <v>311955.77</v>
      </c>
      <c r="D26" s="38" t="n">
        <v>448906.91</v>
      </c>
      <c r="E26" s="40" t="n">
        <v>0.00220428484121963</v>
      </c>
      <c r="F26" s="40" t="n">
        <v>0.003602114613540108</v>
      </c>
      <c r="G26" s="61" t="n">
        <v>-0.001397829772320478</v>
      </c>
    </row>
    <row r="27">
      <c r="A27" s="9" t="n">
        <v>23</v>
      </c>
      <c r="B27" s="27" t="inlineStr">
        <is>
          <t>Tabasco</t>
        </is>
      </c>
      <c r="C27" s="41" t="n">
        <v>310987.91</v>
      </c>
      <c r="D27" s="41" t="n">
        <v>224423.48</v>
      </c>
      <c r="E27" s="17" t="n">
        <v>0.002197445925797668</v>
      </c>
      <c r="F27" s="17" t="n">
        <v>0.001800816781656416</v>
      </c>
      <c r="G27" s="60" t="n">
        <v>0.0003966291441412528</v>
      </c>
    </row>
    <row r="28">
      <c r="A28" s="13" t="n">
        <v>24</v>
      </c>
      <c r="B28" s="29" t="inlineStr">
        <is>
          <t>Sonora</t>
        </is>
      </c>
      <c r="C28" s="38" t="n">
        <v>257303.95</v>
      </c>
      <c r="D28" s="38" t="n">
        <v>142162.92</v>
      </c>
      <c r="E28" s="40" t="n">
        <v>0.00181811414025435</v>
      </c>
      <c r="F28" s="40" t="n">
        <v>0.001140742368246311</v>
      </c>
      <c r="G28" s="59" t="n">
        <v>0.0006773717720080391</v>
      </c>
    </row>
    <row r="29">
      <c r="A29" s="9" t="n">
        <v>25</v>
      </c>
      <c r="B29" s="27" t="inlineStr">
        <is>
          <t>Chihuahua</t>
        </is>
      </c>
      <c r="C29" s="41" t="n">
        <v>254225.77</v>
      </c>
      <c r="D29" s="41" t="n">
        <v>239690.16</v>
      </c>
      <c r="E29" s="17" t="n">
        <v>0.001796363667382681</v>
      </c>
      <c r="F29" s="17" t="n">
        <v>0.00192331953201114</v>
      </c>
      <c r="G29" s="58" t="n">
        <v>-0.0001269558646284585</v>
      </c>
    </row>
    <row r="30">
      <c r="A30" s="13" t="n">
        <v>26</v>
      </c>
      <c r="B30" s="29" t="inlineStr">
        <is>
          <t>Veracruz</t>
        </is>
      </c>
      <c r="C30" s="38" t="n">
        <v>249672.81</v>
      </c>
      <c r="D30" s="38" t="n">
        <v>284415.08</v>
      </c>
      <c r="E30" s="40" t="n">
        <v>0.001764192373642292</v>
      </c>
      <c r="F30" s="40" t="n">
        <v>0.002282200815262966</v>
      </c>
      <c r="G30" s="61" t="n">
        <v>-0.0005180084416206745</v>
      </c>
    </row>
    <row r="31">
      <c r="A31" s="9" t="n">
        <v>27</v>
      </c>
      <c r="B31" s="27" t="inlineStr">
        <is>
          <t>Colima</t>
        </is>
      </c>
      <c r="C31" s="41" t="n">
        <v>239682.72</v>
      </c>
      <c r="D31" s="41" t="n">
        <v>248024.85</v>
      </c>
      <c r="E31" s="17" t="n">
        <v>0.001693602225720297</v>
      </c>
      <c r="F31" s="17" t="n">
        <v>0.001990198673275253</v>
      </c>
      <c r="G31" s="58" t="n">
        <v>-0.000296596447554956</v>
      </c>
    </row>
    <row r="32">
      <c r="A32" s="13" t="n">
        <v>28</v>
      </c>
      <c r="B32" s="29" t="inlineStr">
        <is>
          <t>Hidalgo</t>
        </is>
      </c>
      <c r="C32" s="38" t="n">
        <v>225104.45</v>
      </c>
      <c r="D32" s="38" t="n">
        <v>351045.43</v>
      </c>
      <c r="E32" s="40" t="n">
        <v>0.001590591918931592</v>
      </c>
      <c r="F32" s="40" t="n">
        <v>0.002816855444304636</v>
      </c>
      <c r="G32" s="61" t="n">
        <v>-0.001226263525373044</v>
      </c>
    </row>
    <row r="33">
      <c r="A33" s="9" t="n">
        <v>29</v>
      </c>
      <c r="B33" s="27" t="inlineStr">
        <is>
          <t>Sinaloa</t>
        </is>
      </c>
      <c r="C33" s="41" t="n">
        <v>217288.67</v>
      </c>
      <c r="D33" s="41" t="n">
        <v>346464.61</v>
      </c>
      <c r="E33" s="17" t="n">
        <v>0.001535365482900908</v>
      </c>
      <c r="F33" s="17" t="n">
        <v>0.002780098071458678</v>
      </c>
      <c r="G33" s="58" t="n">
        <v>-0.00124473258855777</v>
      </c>
    </row>
    <row r="34">
      <c r="A34" s="13" t="n">
        <v>30</v>
      </c>
      <c r="B34" s="29" t="inlineStr">
        <is>
          <t>Zacatecas</t>
        </is>
      </c>
      <c r="C34" s="38" t="n">
        <v>204592.42</v>
      </c>
      <c r="D34" s="38" t="n">
        <v>178544.18</v>
      </c>
      <c r="E34" s="40" t="n">
        <v>0.001445653561831666</v>
      </c>
      <c r="F34" s="40" t="n">
        <v>0.001432672533244221</v>
      </c>
      <c r="G34" s="59" t="n">
        <v>1.29810285874446e-05</v>
      </c>
    </row>
    <row r="35">
      <c r="A35" s="9" t="n">
        <v>31</v>
      </c>
      <c r="B35" s="27" t="inlineStr">
        <is>
          <t>Yucatán</t>
        </is>
      </c>
      <c r="C35" s="41" t="n">
        <v>200523.84</v>
      </c>
      <c r="D35" s="41" t="n">
        <v>342374.98</v>
      </c>
      <c r="E35" s="17" t="n">
        <v>0.001416904905510004</v>
      </c>
      <c r="F35" s="17" t="n">
        <v>0.002747282100800146</v>
      </c>
      <c r="G35" s="58" t="n">
        <v>-0.001330377195290143</v>
      </c>
    </row>
    <row r="36">
      <c r="A36" s="13" t="n">
        <v>32</v>
      </c>
      <c r="B36" s="29" t="inlineStr">
        <is>
          <t>Chiapas</t>
        </is>
      </c>
      <c r="C36" s="38" t="n">
        <v>146321.15</v>
      </c>
      <c r="D36" s="38" t="n">
        <v>323545.55</v>
      </c>
      <c r="E36" s="40" t="n">
        <v>0.001033907764856613</v>
      </c>
      <c r="F36" s="40" t="n">
        <v>0.002596191165337312</v>
      </c>
      <c r="G36" s="61" t="n">
        <v>-0.001562283400480699</v>
      </c>
    </row>
  </sheetData>
  <mergeCells count="2">
    <mergeCell ref="A3:H3"/>
    <mergeCell ref="A1:H1"/>
  </mergeCells>
  <conditionalFormatting sqref="C5:C36">
    <cfRule type="dataBar" priority="1">
      <dataBar>
        <cfvo type="min"/>
        <cfvo type="max"/>
        <color rgb="006E1E2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8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Análisis por Canal — YTD 2026 vs 2025 (hasta S30)</t>
        </is>
      </c>
    </row>
    <row r="3">
      <c r="A3" s="3" t="inlineStr">
        <is>
          <t>Ventas por Canal de Distribución — 2026 vs 2025</t>
        </is>
      </c>
    </row>
    <row r="4">
      <c r="A4" s="4" t="inlineStr">
        <is>
          <t>Canal</t>
        </is>
      </c>
      <c r="B4" s="4" t="inlineStr">
        <is>
          <t>Unidades 2026</t>
        </is>
      </c>
      <c r="C4" s="4" t="inlineStr">
        <is>
          <t>Venta 2026 $</t>
        </is>
      </c>
      <c r="D4" s="4" t="inlineStr">
        <is>
          <t>Venta 2025 $</t>
        </is>
      </c>
      <c r="E4" s="4" t="inlineStr">
        <is>
          <t>Part% 2026</t>
        </is>
      </c>
      <c r="F4" s="4" t="inlineStr">
        <is>
          <t>Part% 2025</t>
        </is>
      </c>
      <c r="G4" s="4" t="inlineStr">
        <is>
          <t>Var pp</t>
        </is>
      </c>
    </row>
    <row r="5">
      <c r="A5" s="9" t="inlineStr">
        <is>
          <t>Off Trade</t>
        </is>
      </c>
      <c r="B5" s="10" t="n">
        <v>68099</v>
      </c>
      <c r="C5" s="41" t="n">
        <v>89686410.73999999</v>
      </c>
      <c r="D5" s="41" t="n">
        <v>79134590.16</v>
      </c>
      <c r="E5" s="17" t="n">
        <v>0.6337257222637023</v>
      </c>
      <c r="F5" s="17" t="n">
        <v>0.6349910355620126</v>
      </c>
      <c r="G5" s="62" t="n">
        <v>-0.001265313298310389</v>
      </c>
    </row>
    <row r="6">
      <c r="A6" s="13" t="inlineStr">
        <is>
          <t>Centros de Consumo (On Trade)</t>
        </is>
      </c>
      <c r="B6" s="14" t="n">
        <v>14278</v>
      </c>
      <c r="C6" s="38" t="n">
        <v>20863156.17</v>
      </c>
      <c r="D6" s="38" t="n">
        <v>17227208.44</v>
      </c>
      <c r="E6" s="40" t="n">
        <v>0.1474194206618739</v>
      </c>
      <c r="F6" s="40" t="n">
        <v>0.1382344042603967</v>
      </c>
      <c r="G6" s="63" t="n">
        <v>0.009185016401477277</v>
      </c>
    </row>
    <row r="7">
      <c r="A7" s="9" t="inlineStr">
        <is>
          <t>Venta Directa</t>
        </is>
      </c>
      <c r="B7" s="10" t="n">
        <v>18504</v>
      </c>
      <c r="C7" s="41" t="n">
        <v>29575836.47</v>
      </c>
      <c r="D7" s="41" t="n">
        <v>27069280.19</v>
      </c>
      <c r="E7" s="17" t="n">
        <v>0.2089833696527289</v>
      </c>
      <c r="F7" s="17" t="n">
        <v>0.2172090640137635</v>
      </c>
      <c r="G7" s="62" t="n">
        <v>-0.008225694361034534</v>
      </c>
    </row>
    <row r="8">
      <c r="A8" s="13" t="inlineStr">
        <is>
          <t>Familia y Amigos</t>
        </is>
      </c>
      <c r="B8" s="14" t="n">
        <v>1635</v>
      </c>
      <c r="C8" s="38" t="n">
        <v>1397036.99</v>
      </c>
      <c r="D8" s="38" t="n">
        <v>1192082.37</v>
      </c>
      <c r="E8" s="40" t="n">
        <v>0.009871487421694747</v>
      </c>
      <c r="F8" s="40" t="n">
        <v>0.00956549616382721</v>
      </c>
      <c r="G8" s="63" t="n">
        <v>0.0003059912578675361</v>
      </c>
    </row>
    <row r="9">
      <c r="A9" s="5" t="inlineStr">
        <is>
          <t>Total</t>
        </is>
      </c>
      <c r="B9" s="45" t="n">
        <v>102516</v>
      </c>
      <c r="C9" s="6" t="n">
        <v>141522440.37</v>
      </c>
      <c r="D9" s="6" t="n">
        <v>124623161.16</v>
      </c>
      <c r="E9" s="64" t="n">
        <v>1</v>
      </c>
      <c r="F9" s="64" t="n">
        <v>1</v>
      </c>
      <c r="G9" s="46" t="n">
        <v>0</v>
      </c>
    </row>
    <row r="12">
      <c r="A12" s="3" t="inlineStr">
        <is>
          <t>Mix de Canal — Tabla Simplificada</t>
        </is>
      </c>
    </row>
    <row r="13">
      <c r="A13" s="4" t="inlineStr">
        <is>
          <t>Canal</t>
        </is>
      </c>
      <c r="B13" s="4" t="inlineStr">
        <is>
          <t>Venta 2026 $</t>
        </is>
      </c>
      <c r="C13" s="4" t="inlineStr">
        <is>
          <t>Part% 2026</t>
        </is>
      </c>
    </row>
    <row r="14">
      <c r="A14" s="13" t="inlineStr">
        <is>
          <t>Off Trade</t>
        </is>
      </c>
      <c r="B14" s="38" t="n">
        <v>89686410.73999999</v>
      </c>
      <c r="C14" s="40" t="n">
        <v>0.6337257222637023</v>
      </c>
    </row>
    <row r="15">
      <c r="A15" s="9" t="inlineStr">
        <is>
          <t>Centros de Consumo (On Trade)</t>
        </is>
      </c>
      <c r="B15" s="41" t="n">
        <v>20863156.17</v>
      </c>
      <c r="C15" s="17" t="n">
        <v>0.1474194206618739</v>
      </c>
    </row>
    <row r="16">
      <c r="A16" s="13" t="inlineStr">
        <is>
          <t>Venta Directa</t>
        </is>
      </c>
      <c r="B16" s="38" t="n">
        <v>29575836.47</v>
      </c>
      <c r="C16" s="40" t="n">
        <v>0.2089833696527289</v>
      </c>
    </row>
    <row r="17">
      <c r="A17" s="9" t="inlineStr">
        <is>
          <t>Familia y Amigos</t>
        </is>
      </c>
      <c r="B17" s="41" t="n">
        <v>1397036.99</v>
      </c>
      <c r="C17" s="17" t="n">
        <v>0.009871487421694747</v>
      </c>
    </row>
  </sheetData>
  <mergeCells count="3">
    <mergeCell ref="A12:D12"/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24" customWidth="1" min="4" max="4"/>
    <col width="45" customWidth="1" min="5" max="5"/>
  </cols>
  <sheetData>
    <row r="1">
      <c r="A1" s="1" t="inlineStr">
        <is>
          <t>Oportunidades y Riesgos Identificados</t>
        </is>
      </c>
    </row>
    <row r="2">
      <c r="A2" s="36" t="inlineStr">
        <is>
          <t>Análisis automatizado · Semana 30 · 2026 — Complementar con contexto de mercado</t>
        </is>
      </c>
    </row>
    <row r="4">
      <c r="A4" s="4" t="inlineStr">
        <is>
          <t>#</t>
        </is>
      </c>
      <c r="B4" s="4" t="inlineStr">
        <is>
          <t>Hallazgo</t>
        </is>
      </c>
      <c r="C4" s="4" t="inlineStr">
        <is>
          <t>Tipo</t>
        </is>
      </c>
      <c r="D4" s="4" t="inlineStr">
        <is>
          <t>Impacto Estimado</t>
        </is>
      </c>
      <c r="E4" s="4" t="inlineStr">
        <is>
          <t>Recomendación de Acción</t>
        </is>
      </c>
    </row>
    <row r="5" ht="28" customHeight="1">
      <c r="A5" s="65" t="n">
        <v>1</v>
      </c>
      <c r="B5" s="65" t="inlineStr">
        <is>
          <t>Ventas 34% por debajo del plan</t>
        </is>
      </c>
      <c r="C5" s="49" t="inlineStr">
        <is>
          <t>Riesgo</t>
        </is>
      </c>
      <c r="D5" s="65" t="inlineStr">
        <is>
          <t>$2,722,318 MXN de brecha vs plan</t>
        </is>
      </c>
      <c r="E5" s="65" t="inlineStr">
        <is>
          <t>Activar plan de recuperación en canales de mayor gap</t>
        </is>
      </c>
    </row>
    <row r="6" ht="28" customHeight="1">
      <c r="A6" s="66" t="n">
        <v>2</v>
      </c>
      <c r="B6" s="66" t="inlineStr">
        <is>
          <t>YTD crece 14% vs mismo período año anterior</t>
        </is>
      </c>
      <c r="C6" s="48" t="inlineStr">
        <is>
          <t>Oportunidad</t>
        </is>
      </c>
      <c r="D6" s="66" t="inlineStr">
        <is>
          <t>$16,899,279 MXN acumulados adicionales</t>
        </is>
      </c>
      <c r="E6" s="66" t="inlineStr">
        <is>
          <t>Sostener ritmo; monitorear capacidad operativa</t>
        </is>
      </c>
    </row>
    <row r="7" ht="28" customHeight="1">
      <c r="A7" s="65" t="n">
        <v>3</v>
      </c>
      <c r="B7" s="65" t="inlineStr">
        <is>
          <t>Contexto de mercado no disponible en datos internos</t>
        </is>
      </c>
      <c r="C7" s="67" t="inlineStr">
        <is>
          <t>Información</t>
        </is>
      </c>
      <c r="D7" s="65" t="inlineStr">
        <is>
          <t>N/D</t>
        </is>
      </c>
      <c r="E7" s="65" t="inlineStr">
        <is>
          <t>Complementar con datos de exportaciones CRT y precio de agave</t>
        </is>
      </c>
    </row>
    <row r="10">
      <c r="A10" s="3" t="inlineStr">
        <is>
          <t>Conclusiones y Próximos Pasos</t>
        </is>
      </c>
    </row>
    <row r="11" ht="20" customHeight="1">
      <c r="A11" s="68" t="inlineStr">
        <is>
          <t>1. WoW: -7.3% — Investigar causa de caída</t>
        </is>
      </c>
    </row>
    <row r="12" ht="20" customHeight="1">
      <c r="A12" s="68" t="inlineStr">
        <is>
          <t>2. YTD vs Año Ant.: +13.6% — Sostener estrategia actual</t>
        </is>
      </c>
    </row>
    <row r="13" ht="20" customHeight="1">
      <c r="A13" s="68" t="inlineStr">
        <is>
          <t>3. Cumplimiento de plan: -34.3% — Requiere plan de recuperación urgente</t>
        </is>
      </c>
    </row>
    <row r="14" ht="20" customHeight="1">
      <c r="A14" s="68" t="inlineStr">
        <is>
          <t>4. Monitorear concentración de clientes — diversificar cartera si top 3 &gt; 50%.</t>
        </is>
      </c>
    </row>
    <row r="15" ht="20" customHeight="1">
      <c r="A15" s="68" t="inlineStr">
        <is>
          <t>5. Validar datos de mercado (CRT, exportaciones, precio agave) para contexto externo.</t>
        </is>
      </c>
    </row>
  </sheetData>
  <mergeCells count="8">
    <mergeCell ref="A12:E12"/>
    <mergeCell ref="A2:E2"/>
    <mergeCell ref="A15:E15"/>
    <mergeCell ref="A10:E10"/>
    <mergeCell ref="A11:E11"/>
    <mergeCell ref="A1:E1"/>
    <mergeCell ref="A13:E13"/>
    <mergeCell ref="A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24" customWidth="1" min="4" max="4"/>
    <col width="40" customWidth="1" min="5" max="5"/>
  </cols>
  <sheetData>
    <row r="1">
      <c r="A1" s="69" t="inlineStr">
        <is>
          <t>Contexto de Mercado Externo</t>
        </is>
      </c>
    </row>
    <row r="3" ht="40" customHeight="1">
      <c r="A3" s="70" t="inlineStr">
        <is>
          <t>Contexto de mercado externo no disponible en este reporte. Para incluirlo, el agente debe buscar: estadisticas CRT, precio agave azul y cambios NOM-006 antes de generar el reporte. Ver instrucciones en SKILL.md.</t>
        </is>
      </c>
    </row>
    <row r="5" ht="40" customHeight="1">
      <c r="A5" s="71" t="inlineStr">
        <is>
          <t>Para incluir contexto de mercado, solicitar al agente: 'busca estadisticas CRT, precio agave y cambios NOM-006 para la semana {semana} de {anio} y agrega el contexto al reporte'</t>
        </is>
      </c>
    </row>
  </sheetData>
  <mergeCells count="3">
    <mergeCell ref="A1:E1"/>
    <mergeCell ref="A5:E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2026-08-04T16:21:31Z</dcterms:created>
  <dcterms:modified xmlns:dcterms="http://purl.org/dc/terms/" xmlns:xsi="http://www.w3.org/2001/XMLSchema-instance" xsi:type="dcterms:W3CDTF">2026-08-04T16:21:32Z</dcterms:modified>
</cp:coreProperties>
</file>